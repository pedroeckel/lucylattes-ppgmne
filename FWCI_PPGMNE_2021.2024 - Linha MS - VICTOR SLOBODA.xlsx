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C:\Users\Sloboda\Downloads\"/>
    </mc:Choice>
  </mc:AlternateContent>
  <xr:revisionPtr revIDLastSave="0" documentId="13_ncr:1_{411C8445-5624-4CCE-899C-F4497891F580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Met Calculo" sheetId="1" r:id="rId1"/>
    <sheet name="FWCI" sheetId="2" r:id="rId2"/>
  </sheets>
  <calcPr calcId="191029"/>
</workbook>
</file>

<file path=xl/calcChain.xml><?xml version="1.0" encoding="utf-8"?>
<calcChain xmlns="http://schemas.openxmlformats.org/spreadsheetml/2006/main">
  <c r="O4" i="2" l="1"/>
  <c r="H7" i="2"/>
  <c r="Q4" i="2"/>
  <c r="P4" i="2"/>
  <c r="N4" i="2"/>
  <c r="M4" i="2"/>
  <c r="L4" i="2"/>
  <c r="K4" i="2"/>
  <c r="H4" i="2"/>
  <c r="J4" i="2"/>
  <c r="I4" i="2"/>
</calcChain>
</file>

<file path=xl/sharedStrings.xml><?xml version="1.0" encoding="utf-8"?>
<sst xmlns="http://schemas.openxmlformats.org/spreadsheetml/2006/main" count="225" uniqueCount="178">
  <si>
    <t>﻿Data set</t>
  </si>
  <si>
    <t>© 2023 Elsevier B.V. All rights reserved. SciVal, RELX Group and the RE symbol are trade marks of RELX Intellectual Properties SA, used under license.</t>
  </si>
  <si>
    <t>Year range</t>
  </si>
  <si>
    <t/>
  </si>
  <si>
    <t>Total Parcial</t>
  </si>
  <si>
    <t>A1</t>
  </si>
  <si>
    <t>A2</t>
  </si>
  <si>
    <t>A3</t>
  </si>
  <si>
    <t>B1</t>
  </si>
  <si>
    <t>B2</t>
  </si>
  <si>
    <t>Data source</t>
  </si>
  <si>
    <t>Scopus</t>
  </si>
  <si>
    <t>Date last updated</t>
  </si>
  <si>
    <t>Date exported</t>
  </si>
  <si>
    <t>FWCI 50</t>
  </si>
  <si>
    <t>Pontuação</t>
  </si>
  <si>
    <t>Title</t>
  </si>
  <si>
    <t>Authors</t>
  </si>
  <si>
    <t>Year</t>
  </si>
  <si>
    <t>Field-Weighted Citation Impact</t>
  </si>
  <si>
    <t>Reference</t>
  </si>
  <si>
    <t>DOI</t>
  </si>
  <si>
    <t>Docente Permanente</t>
  </si>
  <si>
    <t>Publications in PPGMNE</t>
  </si>
  <si>
    <t>C</t>
  </si>
  <si>
    <t>B3</t>
  </si>
  <si>
    <t>A4</t>
  </si>
  <si>
    <t>X</t>
  </si>
  <si>
    <t>2021 to &gt;2024</t>
  </si>
  <si>
    <t>Finite element analysis to predict temperature distribution in the human neck with abnormal thyroid: A proof of concept</t>
  </si>
  <si>
    <r>
      <t>Paz, A. A. C., de Souza, M. A., Brock, P. W., &amp; Mercuri, E. G. F. (2022). Finite element analysis to predict temperature distribution in the human neck with abnormal thyroid: A proof of concept. </t>
    </r>
    <r>
      <rPr>
        <i/>
        <sz val="10"/>
        <color rgb="FF222222"/>
        <rFont val="Arial"/>
        <family val="2"/>
      </rPr>
      <t>Computer Methods and Programs in Biomedicine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227</t>
    </r>
    <r>
      <rPr>
        <sz val="10"/>
        <color rgb="FF222222"/>
        <rFont val="Arial"/>
        <family val="2"/>
      </rPr>
      <t>, 107234.</t>
    </r>
  </si>
  <si>
    <t>Emílio Graciliano Ferreira Mercuri</t>
  </si>
  <si>
    <t>10.1016/j.cmpb.2022.107234</t>
  </si>
  <si>
    <t>Approximations of the extended Graetz problem to quantify particulate matter transport and deposition in tubes</t>
  </si>
  <si>
    <r>
      <t>Machado, D. R., Mercuri, E. G. F., &amp; Noe, S. M. (2022). Approximations of the extended Graetz problem to quantify particulate matter transport and deposition in tubes. </t>
    </r>
    <r>
      <rPr>
        <i/>
        <sz val="10"/>
        <color rgb="FF222222"/>
        <rFont val="Arial"/>
        <family val="2"/>
      </rPr>
      <t>Applied Mathematical Modelling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112</t>
    </r>
    <r>
      <rPr>
        <sz val="10"/>
        <color rgb="FF222222"/>
        <rFont val="Arial"/>
        <family val="2"/>
      </rPr>
      <t>, 708-725.</t>
    </r>
  </si>
  <si>
    <t>Air pollution monitoring with Tradescantia hybrid and optical sensors in Curitiba and Araucária, Brazil</t>
  </si>
  <si>
    <r>
      <t>Rodrigues, L. T., Mercuri, E. G. F., &amp; Noe, S. M. (2023). Air pollution monitoring with hybrid and optical sensors in Curitiba and Araucária, Brazil. </t>
    </r>
    <r>
      <rPr>
        <i/>
        <sz val="10"/>
        <color rgb="FF222222"/>
        <rFont val="Arial"/>
        <family val="2"/>
      </rPr>
      <t>Forestry Studies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78</t>
    </r>
    <r>
      <rPr>
        <sz val="10"/>
        <color rgb="FF222222"/>
        <rFont val="Arial"/>
        <family val="2"/>
      </rPr>
      <t>(1), 57-71.</t>
    </r>
  </si>
  <si>
    <t>10.2478/fsmu-2023-0005</t>
  </si>
  <si>
    <t>Leatrice Talita Rodrigues, Emílio Graciliano Ferreira Mercuri, Steffen Manfred Noe</t>
  </si>
  <si>
    <r>
      <t>Mercuri, E. G. F., Tamm, T., &amp; Noe, S. M. (2023). Water and carbon balances in a hemi-boreal forest. </t>
    </r>
    <r>
      <rPr>
        <i/>
        <sz val="10"/>
        <color rgb="FF222222"/>
        <rFont val="Arial"/>
        <family val="2"/>
      </rPr>
      <t>Forestry Studies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78</t>
    </r>
    <r>
      <rPr>
        <sz val="10"/>
        <color rgb="FF222222"/>
        <rFont val="Arial"/>
        <family val="2"/>
      </rPr>
      <t>(1), 72-90.</t>
    </r>
  </si>
  <si>
    <t>Water and carbon balances in a hemi-boreal forest</t>
  </si>
  <si>
    <t>10.2478/fsmu-2023-0006</t>
  </si>
  <si>
    <t>Emílio Graciliano Ferreira Mercuri, Toomas Tamm, Steffen Manfred Noe</t>
  </si>
  <si>
    <t>Tradescantia response to air and soil pollution, stamen hair cells dataset and ANN color classification</t>
  </si>
  <si>
    <r>
      <t>Rodrigues, L. T., Goeldner, B. S. A., Mercuri, E. G. F., &amp; Noe, S. M. (2024). Tradescantia response to air and soil pollution, stamen hair cells dataset and ANN color classification. </t>
    </r>
    <r>
      <rPr>
        <i/>
        <sz val="10"/>
        <color rgb="FF222222"/>
        <rFont val="Arial"/>
        <family val="2"/>
      </rPr>
      <t>Frontiers in Big Data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7</t>
    </r>
    <r>
      <rPr>
        <sz val="10"/>
        <color rgb="FF222222"/>
        <rFont val="Arial"/>
        <family val="2"/>
      </rPr>
      <t>, 1384240.</t>
    </r>
  </si>
  <si>
    <t>Leatrice Talita Rodrigues, Barbara Sanches Antunes Goeldner, Emílio Graciliano Ferreira Mercuri, Steffen Manfred Noe</t>
  </si>
  <si>
    <t>10.3389/fdata.2024.1384240</t>
  </si>
  <si>
    <t>10.1016/j.apm.2022.08.010</t>
  </si>
  <si>
    <t>Adding mechanobiological cell features to finite element analysis of an immediately loaded dental implant</t>
  </si>
  <si>
    <r>
      <t>Martinello, P. A., Cartagena‐Molina, A. F., Capelletti, L. K., Fernandes, B. V., Franco, A. P. G. D. O., Mercuri, E. G. F., &amp; Bombarda, N. H. C. (2024). Adding mechanobiological cell features to finite element analysis of an immediately loaded dental implant. </t>
    </r>
    <r>
      <rPr>
        <i/>
        <sz val="10"/>
        <color rgb="FF222222"/>
        <rFont val="Arial"/>
        <family val="2"/>
      </rPr>
      <t>European Journal of Oral Sciences</t>
    </r>
    <r>
      <rPr>
        <sz val="10"/>
        <color rgb="FF222222"/>
        <rFont val="Arial"/>
        <family val="2"/>
      </rPr>
      <t>, e12992.</t>
    </r>
  </si>
  <si>
    <t>10.1111/eos.12992</t>
  </si>
  <si>
    <t>Particulate matter forecast and prediction in Curitiba using machine learning</t>
  </si>
  <si>
    <r>
      <t>Chaves, M. G. D., Da Silva, A. B., Mercuri, E. G. F., &amp; Noe, S. M. (2024). Particulate matter forecast and prediction in Curitiba using machine learning. </t>
    </r>
    <r>
      <rPr>
        <i/>
        <sz val="10"/>
        <color rgb="FF222222"/>
        <rFont val="Arial"/>
        <family val="2"/>
      </rPr>
      <t>Frontiers in Big Data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7</t>
    </r>
    <r>
      <rPr>
        <sz val="10"/>
        <color rgb="FF222222"/>
        <rFont val="Arial"/>
        <family val="2"/>
      </rPr>
      <t>, 1412837.</t>
    </r>
  </si>
  <si>
    <t>Marianna Gonçalves Dias Chaves, Adriel Bilharva da Silva, Emílio Graciliano Ferreira Mercuri, Steffen Manfred Noe</t>
  </si>
  <si>
    <t>10.3389/fdata.2024.1412837</t>
  </si>
  <si>
    <t>Regionalization of GR4J model parameters for river flow prediction in Paraná, Brazil</t>
  </si>
  <si>
    <r>
      <t>Kuana, L. A., Almeida, A. S., Mercuri, E. G. F., &amp; Noe, S. M. (2024). Regionalization of GR4J model parameters for river flow prediction in Paraná, Brazil. </t>
    </r>
    <r>
      <rPr>
        <i/>
        <sz val="10"/>
        <color rgb="FF222222"/>
        <rFont val="Arial"/>
        <family val="2"/>
      </rPr>
      <t>Hydrology and Earth System Sciences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28</t>
    </r>
    <r>
      <rPr>
        <sz val="10"/>
        <color rgb="FF222222"/>
        <rFont val="Arial"/>
        <family val="2"/>
      </rPr>
      <t>(14), 3367-3390.</t>
    </r>
  </si>
  <si>
    <t>10.5194/hess-28-3367-2024</t>
  </si>
  <si>
    <t>Louise Akemi Kuana, Arlan Scortegagna Almeida, Emílio Graciliano Ferreira Mercuri, and Steffen Manfred Noe</t>
  </si>
  <si>
    <t>Júlio Cézar de Almeida</t>
  </si>
  <si>
    <t>Effect of noise generated by pressure control valves in natural gas distribution networks</t>
  </si>
  <si>
    <t>Application of the Method of Characteristics in the Analysis of Transient Events in Natural Gas Distribution Networks</t>
  </si>
  <si>
    <t>Classification of hazardous areas - natural gas installations</t>
  </si>
  <si>
    <t>Volume of natural gas released into the atmosphere in leakage situations - review and analysis</t>
  </si>
  <si>
    <t>APLICAÇÃO DOS CONCEITOS DE CONFIABILIDADE NO PROJETO DE ESTAÇÕES DE MEDIÇÃO E REDUÇÃO DE PRESSÃO PARA GÁS NATURAL</t>
  </si>
  <si>
    <t>Natural Gas Flow Through Pipelines ? A Review</t>
  </si>
  <si>
    <r>
      <t>de Almeida, J. C., &amp; Weigert, G. A. (2021). Effect of noise generated by pressure control valves in natural gas distribution networks. </t>
    </r>
    <r>
      <rPr>
        <i/>
        <sz val="10"/>
        <color rgb="FF222222"/>
        <rFont val="Arial"/>
        <family val="2"/>
      </rPr>
      <t>International Journal of Advanced Engineering Research and Science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8</t>
    </r>
    <r>
      <rPr>
        <sz val="10"/>
        <color rgb="FF222222"/>
        <rFont val="Arial"/>
        <family val="2"/>
      </rPr>
      <t>, 7.</t>
    </r>
  </si>
  <si>
    <t>10.22161/ijaers.87.46</t>
  </si>
  <si>
    <r>
      <t>de Almeida, J. C., Weigert, G. A., &amp; da Silva, S. R. (2021). Application of the Method of Characteristics in the Analysis of Transient Events in Natural Gas Distribution Networks. </t>
    </r>
    <r>
      <rPr>
        <i/>
        <sz val="10"/>
        <color rgb="FF222222"/>
        <rFont val="Arial"/>
        <family val="2"/>
      </rPr>
      <t>International Journal of Advanced Engineering Research and Science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8</t>
    </r>
    <r>
      <rPr>
        <sz val="10"/>
        <color rgb="FF222222"/>
        <rFont val="Arial"/>
        <family val="2"/>
      </rPr>
      <t>, 10.</t>
    </r>
  </si>
  <si>
    <t>10.22161/ijaers.810.13</t>
  </si>
  <si>
    <t>Julio Cézar de Almeida, Glaúcio Antonio Weigert, Saul Silva</t>
  </si>
  <si>
    <t>Julio Cézar de Almeida, Glaúcio Antonio Weigert</t>
  </si>
  <si>
    <t>Julio Cézar de Almeida, Alexandre Pescador Sardá, Hermes Stefano Ferreira de Oliveira</t>
  </si>
  <si>
    <t>10.22161/ijaers.93.10</t>
  </si>
  <si>
    <t>10.22161/ijaers.911.22</t>
  </si>
  <si>
    <r>
      <t>de Almeida, J. C., Sardá, A. P., &amp; da Rocha Neto, L. B. (2023). APLICAÇÃO DOS CONCEITOS DE CONFIABILIDADE NO PROJETO DE ESTAÇÕES DE MEDIÇÃO E REDUÇÃO DE PRESSÃO PARA GÁS NATURAL. </t>
    </r>
    <r>
      <rPr>
        <i/>
        <sz val="10"/>
        <color rgb="FF222222"/>
        <rFont val="Arial"/>
        <family val="2"/>
      </rPr>
      <t>Revista Contemporânea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3</t>
    </r>
    <r>
      <rPr>
        <sz val="10"/>
        <color rgb="FF222222"/>
        <rFont val="Arial"/>
        <family val="2"/>
      </rPr>
      <t>(8), 11736-11751.</t>
    </r>
  </si>
  <si>
    <t>Julio Cézar de Almeida, Alexandre Pescador Sardá, Leonel Bueno da Rocha Neto</t>
  </si>
  <si>
    <t>10.56083/RCV3N8-100</t>
  </si>
  <si>
    <t>Julio Cézar de Almeida, Leomar Gomes Júnior</t>
  </si>
  <si>
    <t>The Cauchy Stress Tensor - Calculation Parameters Via Matlab - A Review</t>
  </si>
  <si>
    <t>Julio Cézar de Almeida, Flávio Fernandes Cesar Lima, Alexandre Pescador Sardá</t>
  </si>
  <si>
    <t>Coupling the BEM and analytical solutions for the numerical simulation of transient heat conduction in a heterogeneous solid medium</t>
  </si>
  <si>
    <t>A new approach for solving heat conduction under zero and non-zero initial conditions</t>
  </si>
  <si>
    <t>Modelling of cathodic protection developed to different underwater structures configurations</t>
  </si>
  <si>
    <t>Numerical analysis of insulated and conventional cross arms for transmission line tower</t>
  </si>
  <si>
    <t>Luiz Alkimin de Lacerda</t>
  </si>
  <si>
    <r>
      <t>Jacinto, C. C., de Lacerda, L. A., &amp; Tadeu, A. (2021). Coupling the BEM and analytical solutions for the numerical simulation of transient heat conduction in a heterogeneous solid medium. </t>
    </r>
    <r>
      <rPr>
        <i/>
        <sz val="10"/>
        <color rgb="FF222222"/>
        <rFont val="Arial"/>
        <family val="2"/>
      </rPr>
      <t>Engineering Analysis with Boundary Elements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124</t>
    </r>
    <r>
      <rPr>
        <sz val="10"/>
        <color rgb="FF222222"/>
        <rFont val="Arial"/>
        <family val="2"/>
      </rPr>
      <t>, 110-123.</t>
    </r>
  </si>
  <si>
    <t>10.1016/j.enganabound.2020.12.005</t>
  </si>
  <si>
    <r>
      <t>Cibele Cornejo</t>
    </r>
    <r>
      <rPr>
        <sz val="11"/>
        <color theme="1"/>
        <rFont val="Calibri"/>
        <family val="2"/>
        <scheme val="minor"/>
      </rPr>
      <t> Jacinto</t>
    </r>
    <r>
      <rPr>
        <sz val="12"/>
        <color rgb="FF1F1F1F"/>
        <rFont val="Arial"/>
        <family val="2"/>
      </rPr>
      <t>, </t>
    </r>
    <r>
      <rPr>
        <sz val="11"/>
        <color theme="1"/>
        <rFont val="Calibri"/>
        <family val="2"/>
        <scheme val="minor"/>
      </rPr>
      <t>Luiz Alkimin</t>
    </r>
    <r>
      <rPr>
        <sz val="11"/>
        <color theme="1"/>
        <rFont val="Calibri"/>
        <family val="2"/>
        <scheme val="minor"/>
      </rPr>
      <t> de Lacerda</t>
    </r>
    <r>
      <rPr>
        <sz val="12"/>
        <color rgb="FF1F1F1F"/>
        <rFont val="Arial"/>
        <family val="2"/>
      </rPr>
      <t>, </t>
    </r>
    <r>
      <rPr>
        <sz val="11"/>
        <color theme="1"/>
        <rFont val="Calibri"/>
        <family val="2"/>
        <scheme val="minor"/>
      </rPr>
      <t>António</t>
    </r>
    <r>
      <rPr>
        <sz val="11"/>
        <color theme="1"/>
        <rFont val="Calibri"/>
        <family val="2"/>
        <scheme val="minor"/>
      </rPr>
      <t> Tadeu</t>
    </r>
  </si>
  <si>
    <r>
      <t>Jacinto, C. C., Tadeu, A., &amp; de Lacerda, L. A. (2022). A new approach for solving heat conduction under zero and non-zero initial conditions. </t>
    </r>
    <r>
      <rPr>
        <i/>
        <sz val="10"/>
        <color rgb="FF222222"/>
        <rFont val="Arial"/>
        <family val="2"/>
      </rPr>
      <t>Engineering Analysis with Boundary Elements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144</t>
    </r>
    <r>
      <rPr>
        <sz val="10"/>
        <color rgb="FF222222"/>
        <rFont val="Arial"/>
        <family val="2"/>
      </rPr>
      <t>, 185-198.</t>
    </r>
  </si>
  <si>
    <t>10.1016/j.enganabound.2022.08.015</t>
  </si>
  <si>
    <t>10.48072/2525-7579.rog.2022.067</t>
  </si>
  <si>
    <t>Priscilla Mengarda, Heloisa Nunes Da Motta, Luiz Alkimin De Lacerda, Marcos Arndt</t>
  </si>
  <si>
    <t xml:space="preserve">Mengarda, Priscilla &amp; Motta, Heloisa &amp; Lacerda, Luiz &amp; Arndt, Marcos &amp; Silva, Luan &amp; Lacerda, Igor &amp; Barros, Leonardo &amp; Orlowski, Rene &amp; Pesqueira, Camila. (2022). Modelling of cathodic protection developed to different underwater structures configurations. Rio Oil and Gas Expo and Conference. 22. 67-68. 10.48072/2525-7579.rog.2022.067. </t>
  </si>
  <si>
    <r>
      <t>Felchak, L. W., Fernandes, J. M., Mendonça, J. M. F., Dos Santos, A. T., Jarek, A., Tonetti, M., ... &amp; Penteado, R. (2023). Numerical analysis of insulated and conventional cross arms for transmission line tower. </t>
    </r>
    <r>
      <rPr>
        <i/>
        <sz val="10"/>
        <color rgb="FF222222"/>
        <rFont val="Arial"/>
        <family val="2"/>
      </rPr>
      <t>Engineering Structures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294</t>
    </r>
    <r>
      <rPr>
        <sz val="10"/>
        <color rgb="FF222222"/>
        <rFont val="Arial"/>
        <family val="2"/>
      </rPr>
      <t>, 116710.</t>
    </r>
  </si>
  <si>
    <t>10.1016/j.engstruct.2023.116710</t>
  </si>
  <si>
    <t>Free in-plane vibration analysis of curved beams by the generalized/extended finite element method</t>
  </si>
  <si>
    <t>Selective enrichment and modal matrix reduction in the generalized / eXtended Finite Element Method applied to dynamic analysis of plane state problems</t>
  </si>
  <si>
    <t>Assessment of the flat-top stable GFEM for free vibration analysis</t>
  </si>
  <si>
    <t>The solution of the wave-diffusion equation by a caputo derivative-based finite element method formulation</t>
  </si>
  <si>
    <t>Dynamic analysis of a highway bridge beam under the passage of compound heavy trucks with multiple trailers</t>
  </si>
  <si>
    <r>
      <t>Corrêa, R. M., Arndt, M., &amp; Machado, R. D. (2021). Free in-plane vibration analysis of curved beams by the generalized/extended finite element method. </t>
    </r>
    <r>
      <rPr>
        <i/>
        <sz val="10"/>
        <color rgb="FF222222"/>
        <rFont val="Arial"/>
        <family val="2"/>
      </rPr>
      <t>European Journal of Mechanics-A/Solids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88</t>
    </r>
    <r>
      <rPr>
        <sz val="10"/>
        <color rgb="FF222222"/>
        <rFont val="Arial"/>
        <family val="2"/>
      </rPr>
      <t>, 104244.</t>
    </r>
  </si>
  <si>
    <r>
      <t>Ramon Macedo</t>
    </r>
    <r>
      <rPr>
        <sz val="11"/>
        <color theme="1"/>
        <rFont val="Calibri"/>
        <family val="2"/>
        <scheme val="minor"/>
      </rPr>
      <t> Corrêa</t>
    </r>
    <r>
      <rPr>
        <sz val="12"/>
        <color rgb="FF1F1F1F"/>
        <rFont val="Arial"/>
        <family val="2"/>
      </rPr>
      <t>, </t>
    </r>
    <r>
      <rPr>
        <sz val="11"/>
        <color theme="1"/>
        <rFont val="Calibri"/>
        <family val="2"/>
        <scheme val="minor"/>
      </rPr>
      <t>Marcos</t>
    </r>
    <r>
      <rPr>
        <sz val="11"/>
        <color theme="1"/>
        <rFont val="Calibri"/>
        <family val="2"/>
        <scheme val="minor"/>
      </rPr>
      <t> Arndt</t>
    </r>
    <r>
      <rPr>
        <sz val="12"/>
        <color rgb="FF1F1F1F"/>
        <rFont val="Arial"/>
        <family val="2"/>
      </rPr>
      <t>, </t>
    </r>
    <r>
      <rPr>
        <sz val="11"/>
        <color theme="1"/>
        <rFont val="Calibri"/>
        <family val="2"/>
        <scheme val="minor"/>
      </rPr>
      <t>Roberto Dalledone</t>
    </r>
    <r>
      <rPr>
        <sz val="11"/>
        <color theme="1"/>
        <rFont val="Calibri"/>
        <family val="2"/>
        <scheme val="minor"/>
      </rPr>
      <t> Machado</t>
    </r>
  </si>
  <si>
    <t>10.1016/j.euromechsol.2021.104244</t>
  </si>
  <si>
    <r>
      <t>Cittadin, C. C., Corrêa, R. M., Arndt, M., &amp; Machado, R. D. (2022). Selective enrichment and modal matrix reduction in the generalized/eXtended Finite Element Method applied to dynamic analysis of plane state problems. </t>
    </r>
    <r>
      <rPr>
        <i/>
        <sz val="10"/>
        <color rgb="FF222222"/>
        <rFont val="Arial"/>
        <family val="2"/>
      </rPr>
      <t>European Journal of Mechanics-A/Solids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91</t>
    </r>
    <r>
      <rPr>
        <sz val="10"/>
        <color rgb="FF222222"/>
        <rFont val="Arial"/>
        <family val="2"/>
      </rPr>
      <t>, 104430.</t>
    </r>
  </si>
  <si>
    <t>10.1016/j.euromechsol.2021.104430</t>
  </si>
  <si>
    <r>
      <t>da Silva, I. A., Machado, R. D., Arndt, M., &amp; de Oliveira Weinhardt, P. (2022). Assessment of the flat-top stable GFEM for free vibration analysis. </t>
    </r>
    <r>
      <rPr>
        <i/>
        <sz val="10"/>
        <color rgb="FF222222"/>
        <rFont val="Arial"/>
        <family val="2"/>
      </rPr>
      <t>Computers &amp; Mathematics with Applications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117</t>
    </r>
    <r>
      <rPr>
        <sz val="10"/>
        <color rgb="FF222222"/>
        <rFont val="Arial"/>
        <family val="2"/>
      </rPr>
      <t>, 271-283.</t>
    </r>
  </si>
  <si>
    <t>10.1016/j.camwa.2022.04.012</t>
  </si>
  <si>
    <r>
      <t>Corrêa, R. M., Carrer, J. A. M., Solheid, B. S., Trevelyan, J., Arndt, M., &amp; Machado, R. D. (2023). The solution of the wave-diffusion equation by a caputo derivative-based finite element method formulation. </t>
    </r>
    <r>
      <rPr>
        <i/>
        <sz val="10"/>
        <color rgb="FF222222"/>
        <rFont val="Arial"/>
        <family val="2"/>
      </rPr>
      <t>Journal of the Brazilian Society of Mechanical Sciences and Engineering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45</t>
    </r>
    <r>
      <rPr>
        <sz val="10"/>
        <color rgb="FF222222"/>
        <rFont val="Arial"/>
        <family val="2"/>
      </rPr>
      <t>(5), 261.</t>
    </r>
  </si>
  <si>
    <t>10.1007/s40430-023-04175-0</t>
  </si>
  <si>
    <r>
      <t>Corrêa, R. M., Arndt, M., &amp; Machado, R. D. (2023). A new approach for the Modified Local Green’s Function Method applied to solid mechanics problems. </t>
    </r>
    <r>
      <rPr>
        <i/>
        <sz val="10"/>
        <color rgb="FF222222"/>
        <rFont val="Arial"/>
        <family val="2"/>
      </rPr>
      <t>Engineering Analysis with Boundary Elements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155</t>
    </r>
    <r>
      <rPr>
        <sz val="10"/>
        <color rgb="FF222222"/>
        <rFont val="Arial"/>
        <family val="2"/>
      </rPr>
      <t>, 907-919.</t>
    </r>
  </si>
  <si>
    <t>10.1016/j.enganabound.2023.07.009</t>
  </si>
  <si>
    <t>A new approach for the Modified Local Green's Function Method applied to solid mechanics problems</t>
  </si>
  <si>
    <r>
      <t>Metz, D. G., Machado, R. D., Arndt, M., &amp; Rossigali, C. E. (2023). Dynamic analysis of a highway bridge beam under the passage of compound heavy trucks with multiple trailers. </t>
    </r>
    <r>
      <rPr>
        <i/>
        <sz val="10"/>
        <color rgb="FF222222"/>
        <rFont val="Arial"/>
        <family val="2"/>
      </rPr>
      <t>Engineering Computations</t>
    </r>
    <r>
      <rPr>
        <sz val="10"/>
        <color rgb="FF222222"/>
        <rFont val="Arial"/>
        <family val="2"/>
      </rPr>
      <t>, (ahead-of-print).</t>
    </r>
  </si>
  <si>
    <t>10.1108/EC-10-2022-0641</t>
  </si>
  <si>
    <t>Diego Gabriel Metz, Roberto Dalledone Machado, Marcos Arndt, Carlos Eduardo Rossigali</t>
  </si>
  <si>
    <t>Regressão múltipla linear e não-linear para o cálculo de volumes de aterros e método iterativo para o reconhecimento de linhas de fluxo a partir de dados digitais de elevação e de terreno</t>
  </si>
  <si>
    <t>A first dynamic population invasion study from reactive-telegraph equation and boundary element formulation</t>
  </si>
  <si>
    <t>A second dynamic population invasion study from reactive telegraph equation and boundary element formulation ? a numerical assay about tumour growth in vitro</t>
  </si>
  <si>
    <t>A thermal analysis of concrete structures performed by layers using boundary element formulation and dual reciprocity</t>
  </si>
  <si>
    <t>Digital reconstruction of a concrete pile from temperature data and boundary element formulation</t>
  </si>
  <si>
    <t>Roberto Pettres</t>
  </si>
  <si>
    <r>
      <t>Pettres, R. (2021). Regressão múltipla linear e não-linear para o cálculo de volumes de aterros e método iterativo para o reconhecimento de linhas de fluxo a partir de dados digitais de elevação e de terreno. </t>
    </r>
    <r>
      <rPr>
        <i/>
        <sz val="10"/>
        <color rgb="FF222222"/>
        <rFont val="Arial"/>
        <family val="2"/>
      </rPr>
      <t>Revista de Engenharia Civil IMED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8</t>
    </r>
    <r>
      <rPr>
        <sz val="10"/>
        <color rgb="FF222222"/>
        <rFont val="Arial"/>
        <family val="2"/>
      </rPr>
      <t>(1), 90-108.</t>
    </r>
  </si>
  <si>
    <t>10.18256/2358-6508.2021.v8i1.3803</t>
  </si>
  <si>
    <r>
      <t>Pettres, R. (2021). A first dynamic population invasion study from reactive-telegraph equation and boundary element formulation. </t>
    </r>
    <r>
      <rPr>
        <i/>
        <sz val="10"/>
        <color rgb="FF222222"/>
        <rFont val="Arial"/>
        <family val="2"/>
      </rPr>
      <t>Engineering Analysis with Boundary Elements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122</t>
    </r>
    <r>
      <rPr>
        <sz val="10"/>
        <color rgb="FF222222"/>
        <rFont val="Arial"/>
        <family val="2"/>
      </rPr>
      <t>, 214-231.</t>
    </r>
  </si>
  <si>
    <t>10.1016/j.enganabound.2020.11.002</t>
  </si>
  <si>
    <r>
      <t>Pettres, R., Pettres, A. A., &amp; Cirilo, E. R. (2022). A second dynamic population invasion study from reactive telegraph equation and boundary element formulation–a numerical assay about tumour growth in vitro. </t>
    </r>
    <r>
      <rPr>
        <i/>
        <sz val="10"/>
        <color rgb="FF222222"/>
        <rFont val="Arial"/>
        <family val="2"/>
      </rPr>
      <t>Journal of Biotechnology and Biodiversity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10</t>
    </r>
    <r>
      <rPr>
        <sz val="10"/>
        <color rgb="FF222222"/>
        <rFont val="Arial"/>
        <family val="2"/>
      </rPr>
      <t>(2), 111-136.</t>
    </r>
  </si>
  <si>
    <t>Pettres, Andréia Assmann, Cirilo, Eliandro Rodrigues</t>
  </si>
  <si>
    <r>
      <t>de Oliveira, J. R. S., &amp; Pettres, R. (2023). A thermal analysis of concrete structures performed by layers using boundary element formulation and dual reciprocity. </t>
    </r>
    <r>
      <rPr>
        <i/>
        <sz val="10"/>
        <color rgb="FF222222"/>
        <rFont val="Arial"/>
        <family val="2"/>
      </rPr>
      <t>Engineering Analysis with Boundary Elements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150</t>
    </r>
    <r>
      <rPr>
        <sz val="10"/>
        <color rgb="FF222222"/>
        <rFont val="Arial"/>
        <family val="2"/>
      </rPr>
      <t>, 542-554.</t>
    </r>
  </si>
  <si>
    <t>Jonathas Rodrigues Salles de Oliveira, Roberto Pettres</t>
  </si>
  <si>
    <t>10.1016/j.enganabound.2023.02.023</t>
  </si>
  <si>
    <r>
      <t>de Oliveira Rocha, R. P., &amp; Pettres, R. (2023). Digital reconstruction of a concrete pile from temperature data and boundary element formulation. </t>
    </r>
    <r>
      <rPr>
        <i/>
        <sz val="10"/>
        <color rgb="FF222222"/>
        <rFont val="Arial"/>
        <family val="2"/>
      </rPr>
      <t>Engineering Analysis with Boundary Elements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153</t>
    </r>
    <r>
      <rPr>
        <sz val="10"/>
        <color rgb="FF222222"/>
        <rFont val="Arial"/>
        <family val="2"/>
      </rPr>
      <t>, 267-294.</t>
    </r>
  </si>
  <si>
    <t>Rafael Petronilho de Oliveira Rocha, Roberto Pettres</t>
  </si>
  <si>
    <t>10.1016/j.enganabound.2023.05.031</t>
  </si>
  <si>
    <t>B4</t>
  </si>
  <si>
    <t>Roberto Dalledone Machado</t>
  </si>
  <si>
    <t>Ana Paula Imai, Thiago de Oliveira Abeche, Roberto Dalledone Machado</t>
  </si>
  <si>
    <t>10.1590/S1983-41952023000500002</t>
  </si>
  <si>
    <t>Damage and plasticity evolution of reinforced concrete beams using laminated Euler-Bernoulli finite elements</t>
  </si>
  <si>
    <r>
      <t>Imai, A. P., de Oliveira Abeche, T., &amp; Machado, R. D. (2023). Damage and plasticity evolution of reinforced concrete beams using laminated Euler-Bernoulli finite elements. </t>
    </r>
    <r>
      <rPr>
        <i/>
        <sz val="10"/>
        <color rgb="FF222222"/>
        <rFont val="Arial"/>
        <family val="2"/>
      </rPr>
      <t>Revista IBRACON de Estruturas e Materiais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16</t>
    </r>
    <r>
      <rPr>
        <sz val="10"/>
        <color rgb="FF222222"/>
        <rFont val="Arial"/>
        <family val="2"/>
      </rPr>
      <t>(5), e16502.</t>
    </r>
  </si>
  <si>
    <t>Experimental investigation of dynamic characteristics of material applied to reduced scale physical models in the elastic state</t>
  </si>
  <si>
    <r>
      <t>Cavalheiro, J. D., Machado, R. D., &amp; Cunico, M. W. (2022). Experimental investigation of dynamic characteristics of material applied to reduced scale physical models in the elastic state. </t>
    </r>
    <r>
      <rPr>
        <i/>
        <sz val="10"/>
        <color rgb="FF222222"/>
        <rFont val="Arial"/>
        <family val="2"/>
      </rPr>
      <t>Journal of Low Frequency Noise, Vibration and Active Control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41</t>
    </r>
    <r>
      <rPr>
        <sz val="10"/>
        <color rgb="FF222222"/>
        <rFont val="Arial"/>
        <family val="2"/>
      </rPr>
      <t>(3), 821-832.</t>
    </r>
  </si>
  <si>
    <t>A method for the experimental estimation of direct and cross-coupled dynamic coefficients of tilting-pad journal bearings of vertical hydro-generators</t>
  </si>
  <si>
    <r>
      <t>Brito Jr, G. C., Machado, R. D., Neto, A. C., &amp; Kimura, L. Y. (2022). A method for the experimental estimation of direct and cross-coupled dynamic coefficients of tilting-pad journal bearings of vertical hydro-generators. </t>
    </r>
    <r>
      <rPr>
        <i/>
        <sz val="10"/>
        <color rgb="FF222222"/>
        <rFont val="Arial"/>
        <family val="2"/>
      </rPr>
      <t>Structural Health Monitoring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21</t>
    </r>
    <r>
      <rPr>
        <sz val="10"/>
        <color rgb="FF222222"/>
        <rFont val="Arial"/>
        <family val="2"/>
      </rPr>
      <t>(3), 1218-1234.</t>
    </r>
  </si>
  <si>
    <t>10.1177/14759217211026593</t>
  </si>
  <si>
    <t>Geraldo Carvalho Brito Júnior, Roberto Dalledone Machado, Anselmo Chaves Neto, Leonardo Yuta Kimura</t>
  </si>
  <si>
    <t>Jennifer Desiree Medeiros Cavalheiro, Roberto Dalledone Machado, Marlon Wesley Machado Cunico</t>
  </si>
  <si>
    <t>Experimental and Numerical Study of a Geodesic Dome Under Static and Dynamic Loads and the Influence of Nodal Connections</t>
  </si>
  <si>
    <r>
      <t>Rossot, D., Machado, R. D., Barbieri, N., &amp; de Lima, K. F. (2022). Experimental and numerical study of a geodesic dome under static and dynamic loads and the influence of nodal connections. </t>
    </r>
    <r>
      <rPr>
        <i/>
        <sz val="10"/>
        <color rgb="FF222222"/>
        <rFont val="Arial"/>
        <family val="2"/>
      </rPr>
      <t>Experimental Techniques</t>
    </r>
    <r>
      <rPr>
        <sz val="10"/>
        <color rgb="FF222222"/>
        <rFont val="Arial"/>
        <family val="2"/>
      </rPr>
      <t>, 1-12.</t>
    </r>
  </si>
  <si>
    <t>10.1007/s40799-021-00509-6</t>
  </si>
  <si>
    <t>Diogo Rossot, Roberto Dalledone Machado, Nilson Barbieri, Key Fonseca de Lima</t>
  </si>
  <si>
    <t>A boundary element method formulation based on the Caputo derivative for the solution of the anomalous diffusion problem</t>
  </si>
  <si>
    <t>José Antônio Marques Carrer</t>
  </si>
  <si>
    <r>
      <t>Carrer, J. A. M., Solheid, B. S., Trevelyan, J., &amp; Seaid, M. (2021). A boundary element method formulation based on the Caputo derivative for the solution of the anomalous diffusion problem. </t>
    </r>
    <r>
      <rPr>
        <i/>
        <sz val="10"/>
        <color rgb="FF222222"/>
        <rFont val="Arial"/>
        <family val="2"/>
      </rPr>
      <t>Engineering Analysis with Boundary Elements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122</t>
    </r>
    <r>
      <rPr>
        <sz val="10"/>
        <color rgb="FF222222"/>
        <rFont val="Arial"/>
        <family val="2"/>
      </rPr>
      <t>, 132-144.</t>
    </r>
  </si>
  <si>
    <t>10.1016/j.enganabound.2020.10.017</t>
  </si>
  <si>
    <t>José Antônio Marques Carrer, Bruno dos Santos Solheid, Jon Trevelyan, Mohammed Seaid</t>
  </si>
  <si>
    <t>Ramon Macedo Corrêa, José Antônio Marques Carrer, Bruno dos Santos Solheid, Jon Trevelyan, Marcos Arndt, Roberto Dalledone Machado</t>
  </si>
  <si>
    <t>A boundary element method formulation based on the Caputo derivative for the solution of the diffusion-wave equation</t>
  </si>
  <si>
    <r>
      <t>Carrer, J. A. M., Solheid, B. S., Trevelyan, J., &amp; Seaïd, M. (2022). A boundary element method formulation based on the Caputo derivative for the solution of the diffusion-wave equation. </t>
    </r>
    <r>
      <rPr>
        <i/>
        <sz val="10"/>
        <color rgb="FF222222"/>
        <rFont val="Arial"/>
        <family val="2"/>
      </rPr>
      <t>Engineering with Computers</t>
    </r>
    <r>
      <rPr>
        <sz val="10"/>
        <color rgb="FF222222"/>
        <rFont val="Arial"/>
        <family val="2"/>
      </rPr>
      <t>, 1-18.</t>
    </r>
  </si>
  <si>
    <t>10.1007/s00366-021-01480-x</t>
  </si>
  <si>
    <t>The solution of the anomalous diffusion equation by a finite element method formulation based on the Caputo derivative</t>
  </si>
  <si>
    <t>10.1007/s40430-022-03544-5</t>
  </si>
  <si>
    <t>Ramon Macedo Corrêa, José Antônio Marques Carrer, Bruno dos Santos Solheid, Jon Trevelyan</t>
  </si>
  <si>
    <r>
      <t>Corrêa, R. M., Carrer, J. A. M., Solheid, B. S., &amp; Trevelyan, J. (2022). The solution of the anomalous diffusion equation by a finite element method formulation based on the Caputo derivative. </t>
    </r>
    <r>
      <rPr>
        <i/>
        <sz val="10"/>
        <color rgb="FF222222"/>
        <rFont val="Arial"/>
        <family val="2"/>
      </rPr>
      <t>Journal of the Brazilian Society of Mechanical Sciences and Engineering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44</t>
    </r>
    <r>
      <rPr>
        <sz val="10"/>
        <color rgb="FF222222"/>
        <rFont val="Arial"/>
        <family val="2"/>
      </rPr>
      <t>(6), 250.</t>
    </r>
  </si>
  <si>
    <t>Luiz Alkimin de Lacerda
Marcos Arndt</t>
  </si>
  <si>
    <t>Marcos Arndt
Roberto Dalledone Machado</t>
  </si>
  <si>
    <t>José Antônio Marques Carrer
Marcos Arndt
Roberto Dalledone Machado</t>
  </si>
  <si>
    <r>
      <t xml:space="preserve">Almeida, Julio &amp; Sardá, Alexandre &amp; Oliveira, Hermes. (2022). Volume of natural gas released into the atmosphere in leakage situations - Review and analysis. </t>
    </r>
    <r>
      <rPr>
        <i/>
        <sz val="11"/>
        <color theme="1"/>
        <rFont val="Calibri"/>
        <family val="2"/>
        <scheme val="minor"/>
      </rPr>
      <t>International Journal of Advanced Engineering Research and Science</t>
    </r>
    <r>
      <rPr>
        <sz val="11"/>
        <color theme="1"/>
        <rFont val="Calibri"/>
        <scheme val="minor"/>
      </rPr>
      <t>. 9. 173-177.</t>
    </r>
  </si>
  <si>
    <r>
      <t xml:space="preserve">Almeida, Julio &amp; Sardá, Alexandre &amp; Oliveira, Hermes. (2022). Classification of hazardous areas - natural gas installations. </t>
    </r>
    <r>
      <rPr>
        <i/>
        <sz val="11"/>
        <color theme="1"/>
        <rFont val="Calibri"/>
        <family val="2"/>
        <scheme val="minor"/>
      </rPr>
      <t>International Journal of Advanced Engineering Research and Science</t>
    </r>
    <r>
      <rPr>
        <sz val="11"/>
        <color theme="1"/>
        <rFont val="Calibri"/>
        <scheme val="minor"/>
      </rPr>
      <t>. 9. 066-071.</t>
    </r>
  </si>
  <si>
    <r>
      <t xml:space="preserve">ALMEIDA, J. C.; GOMES JUNIOR, L. . The Cauchy Stress Tensor - Calculation Parameters Via Matlab -A Review. </t>
    </r>
    <r>
      <rPr>
        <i/>
        <sz val="11"/>
        <color theme="1"/>
        <rFont val="Calibri"/>
        <family val="2"/>
        <scheme val="minor"/>
      </rPr>
      <t>INTERNATIONAL JOURNAL OF ENGINEERING RESEARCH AND DEVELOPMENT</t>
    </r>
    <r>
      <rPr>
        <sz val="11"/>
        <color theme="1"/>
        <rFont val="Calibri"/>
        <scheme val="minor"/>
      </rPr>
      <t>, v. 20, p. 11-18, 2024.</t>
    </r>
  </si>
  <si>
    <r>
      <t xml:space="preserve">ALMEIDA, J. C.; SARDA, A. P. ; LIMA, F. F. C. . Natural Gas Flow Through Pipelines - A Review. </t>
    </r>
    <r>
      <rPr>
        <i/>
        <sz val="11"/>
        <color theme="1"/>
        <rFont val="Calibri"/>
        <family val="2"/>
        <scheme val="minor"/>
      </rPr>
      <t>INTERNATIONAL JOURNAL OF ENGINEERING RESEARCH AND DEVELOPMENT</t>
    </r>
    <r>
      <rPr>
        <sz val="11"/>
        <color theme="1"/>
        <rFont val="Calibri"/>
        <family val="2"/>
        <scheme val="minor"/>
      </rPr>
      <t>, v. 20, p. 271-275, 2024.</t>
    </r>
  </si>
  <si>
    <t>Leonardo Wendler Felchak, João Maurício Fernandes, J. M. F. Mendonça, Alexandre Tachibana dos Santos, Amanda Jarek, Márcio Tonetti, Luiz Alkimin de Lacerda, Renato Penteado</t>
  </si>
  <si>
    <r>
      <t>Denner Ribeiro</t>
    </r>
    <r>
      <rPr>
        <sz val="11"/>
        <color theme="1"/>
        <rFont val="Calibri"/>
        <family val="2"/>
        <scheme val="minor"/>
      </rPr>
      <t> Machado</t>
    </r>
    <r>
      <rPr>
        <sz val="12"/>
        <color rgb="FF1F1F1F"/>
        <rFont val="Arial"/>
        <family val="2"/>
      </rPr>
      <t>, </t>
    </r>
    <r>
      <rPr>
        <sz val="11"/>
        <color theme="1"/>
        <rFont val="Calibri"/>
        <family val="2"/>
        <scheme val="minor"/>
      </rPr>
      <t>Emílio Graciliano Ferreira Mercuri</t>
    </r>
    <r>
      <rPr>
        <sz val="12"/>
        <color rgb="FF1F1F1F"/>
        <rFont val="Arial"/>
        <family val="2"/>
      </rPr>
      <t xml:space="preserve">, </t>
    </r>
    <r>
      <rPr>
        <sz val="11"/>
        <color theme="1"/>
        <rFont val="Calibri"/>
        <family val="2"/>
        <scheme val="minor"/>
      </rPr>
      <t>Steffen Manfred Noe</t>
    </r>
  </si>
  <si>
    <t>Poliana Alexandra Martinello, Andrés Felipe Cartagena-Molina, Lucas Kravchychyn Capelletti, Bruno Viezzer Fernandes, Ana Paula Gebert de Oliveira Franco, Emilio Graciliano Ferreira Mercuri, Nara Hellen Campanha Bombarda</t>
  </si>
  <si>
    <r>
      <t>Andre Augusto Chagas Paz</t>
    </r>
    <r>
      <rPr>
        <sz val="12"/>
        <color rgb="FF1F1F1F"/>
        <rFont val="Arial"/>
        <family val="2"/>
      </rPr>
      <t>, </t>
    </r>
    <r>
      <rPr>
        <sz val="11"/>
        <color theme="1"/>
        <rFont val="Calibri"/>
        <family val="2"/>
        <scheme val="minor"/>
      </rPr>
      <t>Mauren Abreu de Souza</t>
    </r>
    <r>
      <rPr>
        <sz val="12"/>
        <color rgb="FF1F1F1F"/>
        <rFont val="Arial"/>
        <family val="2"/>
      </rPr>
      <t xml:space="preserve">, </t>
    </r>
    <r>
      <rPr>
        <sz val="11"/>
        <color theme="1"/>
        <rFont val="Calibri"/>
        <family val="2"/>
        <scheme val="minor"/>
      </rPr>
      <t>Paola Wyatt Brock</t>
    </r>
    <r>
      <rPr>
        <sz val="12"/>
        <color rgb="FF1F1F1F"/>
        <rFont val="Arial"/>
        <family val="2"/>
      </rPr>
      <t xml:space="preserve">, </t>
    </r>
    <r>
      <rPr>
        <sz val="11"/>
        <color theme="1"/>
        <rFont val="Calibri"/>
        <family val="2"/>
        <scheme val="minor"/>
      </rPr>
      <t>Emílio Graciliano Ferreira Mercuri</t>
    </r>
  </si>
  <si>
    <t>Carolina Castro Cittadin, Ramon Macedo Corrêa, Marcos Arndt, Roberto Dalledone Machado</t>
  </si>
  <si>
    <r>
      <t>Ivan</t>
    </r>
    <r>
      <rPr>
        <sz val="11"/>
        <color theme="1"/>
        <rFont val="Calibri"/>
        <family val="2"/>
        <scheme val="minor"/>
      </rPr>
      <t> Assing da Silva</t>
    </r>
    <r>
      <rPr>
        <sz val="12"/>
        <color rgb="FF1F1F1F"/>
        <rFont val="Arial"/>
        <family val="2"/>
      </rPr>
      <t xml:space="preserve">, </t>
    </r>
    <r>
      <rPr>
        <sz val="11"/>
        <color theme="1"/>
        <rFont val="Calibri"/>
        <family val="2"/>
        <scheme val="minor"/>
      </rPr>
      <t>Roberto Dalledone Machado, Marcos Arndt</t>
    </r>
    <r>
      <rPr>
        <sz val="12"/>
        <color rgb="FF1F1F1F"/>
        <rFont val="Arial"/>
        <family val="2"/>
      </rPr>
      <t xml:space="preserve">, </t>
    </r>
    <r>
      <rPr>
        <sz val="11"/>
        <color theme="1"/>
        <rFont val="Calibri"/>
        <family val="2"/>
        <scheme val="minor"/>
      </rPr>
      <t>Paulo de Oliveira Weinhardt</t>
    </r>
  </si>
  <si>
    <r>
      <t>Ramon Macedo</t>
    </r>
    <r>
      <rPr>
        <sz val="11"/>
        <color theme="1"/>
        <rFont val="Calibri"/>
        <family val="2"/>
        <scheme val="minor"/>
      </rPr>
      <t> Corrêa</t>
    </r>
    <r>
      <rPr>
        <sz val="12"/>
        <color rgb="FF1F1F1F"/>
        <rFont val="Arial"/>
        <family val="2"/>
      </rPr>
      <t>, </t>
    </r>
    <r>
      <rPr>
        <sz val="11"/>
        <color theme="1"/>
        <rFont val="Calibri"/>
        <family val="2"/>
        <scheme val="minor"/>
      </rPr>
      <t>Marcos Arndt</t>
    </r>
    <r>
      <rPr>
        <sz val="12"/>
        <color rgb="FF1F1F1F"/>
        <rFont val="Arial"/>
        <family val="2"/>
      </rPr>
      <t>, </t>
    </r>
    <r>
      <rPr>
        <sz val="11"/>
        <color theme="1"/>
        <rFont val="Calibri"/>
        <family val="2"/>
        <scheme val="minor"/>
      </rPr>
      <t>Roberto Dalledone Machado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</si>
</sst>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name val="Calibri"/>
      <family val="2"/>
      <scheme val="minor"/>
    </font>
    <font>
      <sz val="16"/>
      <name val="Calibri"/>
      <family val="2"/>
      <scheme val="minor"/>
    </font>
    <font>
      <sz val="8"/>
      <name val="Calibri"/>
      <family val="2"/>
      <scheme val="minor"/>
    </font>
    <font>
      <sz val="12"/>
      <color rgb="FF1F1F1F"/>
      <name val="Arial"/>
      <family val="2"/>
    </font>
    <font>
      <sz val="10"/>
      <color rgb="FF222222"/>
      <name val="Arial"/>
      <family val="2"/>
    </font>
    <font>
      <i/>
      <sz val="10"/>
      <color rgb="FF222222"/>
      <name val="Arial"/>
      <family val="2"/>
    </font>
    <font>
      <sz val="11"/>
      <name val="Calibri"/>
      <family val="2"/>
      <scheme val="minor"/>
    </font>
    <font>
      <sz val="11"/>
      <color rgb="FFED0000"/>
      <name val="Calibri"/>
      <family val="2"/>
      <scheme val="minor"/>
    </font>
    <font>
      <b/>
      <sz val="11"/>
      <color rgb="FFED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theme="7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5" borderId="1" xfId="0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7" fillId="0" borderId="0" xfId="0" applyFont="1" applyAlignment="1">
      <alignment vertical="center"/>
    </xf>
    <xf numFmtId="0" fontId="8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esearchgate.net/scientific-contributions/Luiz-Alkimin-De-Lacerda-2231683404" TargetMode="External"/><Relationship Id="rId1" Type="http://schemas.openxmlformats.org/officeDocument/2006/relationships/hyperlink" Target="https://www.researchgate.net/scientific-contributions/Marcos-Arndt-223167898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577102</xdr:colOff>
      <xdr:row>0</xdr:row>
      <xdr:rowOff>28014</xdr:rowOff>
    </xdr:from>
    <xdr:to>
      <xdr:col>12</xdr:col>
      <xdr:colOff>373491</xdr:colOff>
      <xdr:row>54</xdr:row>
      <xdr:rowOff>142314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577102" y="28014"/>
          <a:ext cx="7102623" cy="9796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11</xdr:col>
      <xdr:colOff>405241</xdr:colOff>
      <xdr:row>111</xdr:row>
      <xdr:rowOff>114300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10496550"/>
          <a:ext cx="7110841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2057" name="AutoShape 9" descr="Marcos Arnd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74CDC-5358-A1A8-C8D5-8060FDDB7ABD}"/>
            </a:ext>
          </a:extLst>
        </xdr:cNvPr>
        <xdr:cNvSpPr>
          <a:spLocks noChangeAspect="1" noChangeArrowheads="1"/>
        </xdr:cNvSpPr>
      </xdr:nvSpPr>
      <xdr:spPr bwMode="auto">
        <a:xfrm>
          <a:off x="3409950" y="1641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34</xdr:row>
      <xdr:rowOff>0</xdr:rowOff>
    </xdr:from>
    <xdr:ext cx="304800" cy="304800"/>
    <xdr:sp macro="" textlink="">
      <xdr:nvSpPr>
        <xdr:cNvPr id="8" name="AutoShape 8" descr="Luiz Alkimin De Lacerda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CF1973-CC89-47B0-A1D8-BE1EF93423F8}"/>
            </a:ext>
          </a:extLst>
        </xdr:cNvPr>
        <xdr:cNvSpPr>
          <a:spLocks noChangeAspect="1" noChangeArrowheads="1"/>
        </xdr:cNvSpPr>
      </xdr:nvSpPr>
      <xdr:spPr bwMode="auto">
        <a:xfrm>
          <a:off x="3406588" y="1538567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304800" cy="304800"/>
    <xdr:sp macro="" textlink="">
      <xdr:nvSpPr>
        <xdr:cNvPr id="9" name="AutoShape 9" descr="Marcos Arnd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F2FF50-9FA4-4CC1-8886-8B5EBB8B9E04}"/>
            </a:ext>
          </a:extLst>
        </xdr:cNvPr>
        <xdr:cNvSpPr>
          <a:spLocks noChangeAspect="1" noChangeArrowheads="1"/>
        </xdr:cNvSpPr>
      </xdr:nvSpPr>
      <xdr:spPr bwMode="auto">
        <a:xfrm>
          <a:off x="3406588" y="1623732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31" workbookViewId="0">
      <selection activeCell="P79" sqref="P79"/>
    </sheetView>
  </sheetViews>
  <sheetFormatPr defaultRowHeight="15" x14ac:dyDescent="0.25"/>
  <sheetData/>
  <pageMargins left="0.511811024" right="0.511811024" top="0.78740157500000008" bottom="0.78740157500000008" header="0.31496062000000014" footer="0.3149606200000001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77"/>
  <sheetViews>
    <sheetView tabSelected="1" zoomScale="85" zoomScaleNormal="85" workbookViewId="0"/>
  </sheetViews>
  <sheetFormatPr defaultRowHeight="15" x14ac:dyDescent="0.25"/>
  <cols>
    <col min="1" max="1" width="51.140625" style="5" customWidth="1"/>
    <col min="2" max="2" width="54.140625" style="5" customWidth="1"/>
    <col min="3" max="3" width="8.7109375" style="25"/>
    <col min="4" max="4" width="17.28515625" style="25" customWidth="1"/>
    <col min="5" max="5" width="75.28515625" style="5" customWidth="1"/>
    <col min="6" max="6" width="46.7109375" style="5" customWidth="1"/>
    <col min="7" max="7" width="32.85546875" style="5" customWidth="1"/>
    <col min="8" max="16384" width="9.140625" style="5"/>
  </cols>
  <sheetData>
    <row r="1" spans="1:17" x14ac:dyDescent="0.25">
      <c r="A1" s="5" t="s">
        <v>0</v>
      </c>
      <c r="B1" s="24" t="s">
        <v>23</v>
      </c>
      <c r="D1" s="5" t="s">
        <v>1</v>
      </c>
    </row>
    <row r="2" spans="1:17" x14ac:dyDescent="0.25">
      <c r="A2" s="5" t="s">
        <v>2</v>
      </c>
      <c r="B2" s="26" t="s">
        <v>28</v>
      </c>
    </row>
    <row r="3" spans="1:17" x14ac:dyDescent="0.25">
      <c r="A3" s="3" t="s">
        <v>3</v>
      </c>
      <c r="B3" s="3"/>
      <c r="D3" s="27"/>
      <c r="G3" s="1" t="s">
        <v>4</v>
      </c>
      <c r="H3" s="2" t="s">
        <v>5</v>
      </c>
      <c r="I3" s="2" t="s">
        <v>6</v>
      </c>
      <c r="J3" s="2" t="s">
        <v>7</v>
      </c>
      <c r="K3" s="2" t="s">
        <v>26</v>
      </c>
      <c r="L3" s="2" t="s">
        <v>8</v>
      </c>
      <c r="M3" s="2" t="s">
        <v>9</v>
      </c>
      <c r="N3" s="2" t="s">
        <v>25</v>
      </c>
      <c r="O3" s="14" t="s">
        <v>134</v>
      </c>
      <c r="P3" s="13" t="s">
        <v>24</v>
      </c>
      <c r="Q3" s="13" t="s">
        <v>27</v>
      </c>
    </row>
    <row r="4" spans="1:17" x14ac:dyDescent="0.25">
      <c r="A4" s="3" t="s">
        <v>10</v>
      </c>
      <c r="B4" s="3" t="s">
        <v>11</v>
      </c>
      <c r="D4" s="28"/>
      <c r="G4" s="29">
        <v>0.5</v>
      </c>
      <c r="H4" s="2">
        <f t="shared" ref="H4:Q4" si="0">COUNT(H11:H77)</f>
        <v>13</v>
      </c>
      <c r="I4" s="2">
        <f t="shared" si="0"/>
        <v>4</v>
      </c>
      <c r="J4" s="2">
        <f t="shared" si="0"/>
        <v>3</v>
      </c>
      <c r="K4" s="2">
        <f t="shared" si="0"/>
        <v>6</v>
      </c>
      <c r="L4" s="2">
        <f t="shared" si="0"/>
        <v>0</v>
      </c>
      <c r="M4" s="2">
        <f t="shared" si="0"/>
        <v>0</v>
      </c>
      <c r="N4" s="2">
        <f t="shared" si="0"/>
        <v>0</v>
      </c>
      <c r="O4" s="2">
        <f t="shared" si="0"/>
        <v>2</v>
      </c>
      <c r="P4" s="2">
        <f t="shared" si="0"/>
        <v>4</v>
      </c>
      <c r="Q4" s="2">
        <f t="shared" si="0"/>
        <v>5</v>
      </c>
    </row>
    <row r="5" spans="1:17" x14ac:dyDescent="0.25">
      <c r="A5" s="3" t="s">
        <v>12</v>
      </c>
      <c r="B5" s="30">
        <v>45621</v>
      </c>
      <c r="D5" s="28"/>
    </row>
    <row r="6" spans="1:17" ht="26.25" x14ac:dyDescent="0.25">
      <c r="A6" s="3" t="s">
        <v>13</v>
      </c>
      <c r="B6" s="3"/>
      <c r="D6" s="28"/>
      <c r="G6" s="31"/>
      <c r="H6" s="31"/>
    </row>
    <row r="7" spans="1:17" ht="21" x14ac:dyDescent="0.25">
      <c r="A7" s="3" t="s">
        <v>3</v>
      </c>
      <c r="B7" s="3"/>
      <c r="G7" s="32" t="s">
        <v>14</v>
      </c>
      <c r="H7" s="32">
        <f>SUM(H11:Q47)/30</f>
        <v>1.2333333333333334</v>
      </c>
    </row>
    <row r="8" spans="1:17" x14ac:dyDescent="0.25">
      <c r="A8" s="5" t="s">
        <v>3</v>
      </c>
    </row>
    <row r="9" spans="1:17" x14ac:dyDescent="0.25">
      <c r="A9" s="5" t="s">
        <v>3</v>
      </c>
      <c r="H9" s="21" t="s">
        <v>15</v>
      </c>
      <c r="I9" s="22"/>
      <c r="J9" s="22"/>
      <c r="K9" s="22"/>
      <c r="L9" s="23"/>
    </row>
    <row r="10" spans="1:17" ht="30" x14ac:dyDescent="0.25">
      <c r="A10" s="3" t="s">
        <v>16</v>
      </c>
      <c r="B10" s="3" t="s">
        <v>17</v>
      </c>
      <c r="C10" s="2" t="s">
        <v>18</v>
      </c>
      <c r="D10" s="12" t="s">
        <v>19</v>
      </c>
      <c r="E10" s="3" t="s">
        <v>20</v>
      </c>
      <c r="F10" s="3" t="s">
        <v>21</v>
      </c>
      <c r="G10" s="2" t="s">
        <v>22</v>
      </c>
      <c r="H10" s="2" t="s">
        <v>5</v>
      </c>
      <c r="I10" s="2" t="s">
        <v>6</v>
      </c>
      <c r="J10" s="2" t="s">
        <v>7</v>
      </c>
      <c r="K10" s="2" t="s">
        <v>26</v>
      </c>
      <c r="L10" s="2" t="s">
        <v>8</v>
      </c>
      <c r="M10" s="13" t="s">
        <v>9</v>
      </c>
      <c r="N10" s="2" t="s">
        <v>25</v>
      </c>
      <c r="O10" s="14" t="s">
        <v>134</v>
      </c>
      <c r="P10" s="2" t="s">
        <v>24</v>
      </c>
      <c r="Q10" s="13" t="s">
        <v>27</v>
      </c>
    </row>
    <row r="11" spans="1:17" ht="57.75" x14ac:dyDescent="0.25">
      <c r="A11" s="4" t="s">
        <v>29</v>
      </c>
      <c r="B11" s="34" t="s">
        <v>174</v>
      </c>
      <c r="C11" s="10">
        <v>2022</v>
      </c>
      <c r="D11" s="10"/>
      <c r="E11" s="4" t="s">
        <v>30</v>
      </c>
      <c r="F11" s="7" t="s">
        <v>32</v>
      </c>
      <c r="G11" s="9" t="s">
        <v>31</v>
      </c>
      <c r="H11" s="15">
        <v>1</v>
      </c>
      <c r="I11" s="15"/>
      <c r="J11" s="10"/>
      <c r="K11" s="15"/>
      <c r="L11" s="15"/>
      <c r="M11" s="15"/>
      <c r="N11" s="15"/>
      <c r="O11" s="15"/>
      <c r="P11" s="15"/>
      <c r="Q11" s="15"/>
    </row>
    <row r="12" spans="1:17" ht="45" x14ac:dyDescent="0.25">
      <c r="A12" s="4" t="s">
        <v>33</v>
      </c>
      <c r="B12" s="34" t="s">
        <v>172</v>
      </c>
      <c r="C12" s="10">
        <v>2022</v>
      </c>
      <c r="D12" s="10"/>
      <c r="E12" s="11" t="s">
        <v>34</v>
      </c>
      <c r="F12" s="7" t="s">
        <v>47</v>
      </c>
      <c r="G12" s="9" t="s">
        <v>31</v>
      </c>
      <c r="H12" s="15">
        <v>1</v>
      </c>
      <c r="I12" s="15"/>
      <c r="J12" s="10"/>
      <c r="K12" s="15"/>
      <c r="L12" s="15"/>
      <c r="M12" s="15"/>
      <c r="N12" s="15"/>
      <c r="O12" s="15"/>
      <c r="P12" s="15"/>
      <c r="Q12" s="15"/>
    </row>
    <row r="13" spans="1:17" ht="42.75" x14ac:dyDescent="0.25">
      <c r="A13" s="4" t="s">
        <v>35</v>
      </c>
      <c r="B13" s="7" t="s">
        <v>38</v>
      </c>
      <c r="C13" s="10">
        <v>2023</v>
      </c>
      <c r="D13" s="10"/>
      <c r="E13" s="11" t="s">
        <v>36</v>
      </c>
      <c r="F13" s="7" t="s">
        <v>37</v>
      </c>
      <c r="G13" s="9" t="s">
        <v>31</v>
      </c>
      <c r="H13" s="15"/>
      <c r="I13" s="15"/>
      <c r="J13" s="15"/>
      <c r="K13" s="15"/>
      <c r="L13" s="15"/>
      <c r="M13" s="15"/>
      <c r="N13" s="15"/>
      <c r="O13" s="15"/>
      <c r="P13" s="10"/>
      <c r="Q13" s="15">
        <v>1</v>
      </c>
    </row>
    <row r="14" spans="1:17" ht="30" x14ac:dyDescent="0.25">
      <c r="A14" s="4" t="s">
        <v>40</v>
      </c>
      <c r="B14" s="7" t="s">
        <v>42</v>
      </c>
      <c r="C14" s="10">
        <v>2023</v>
      </c>
      <c r="D14" s="10"/>
      <c r="E14" s="4" t="s">
        <v>39</v>
      </c>
      <c r="F14" s="7" t="s">
        <v>41</v>
      </c>
      <c r="G14" s="9" t="s">
        <v>31</v>
      </c>
      <c r="H14" s="15"/>
      <c r="I14" s="15"/>
      <c r="J14" s="15"/>
      <c r="K14" s="15"/>
      <c r="L14" s="15"/>
      <c r="M14" s="15"/>
      <c r="N14" s="10"/>
      <c r="O14" s="10"/>
      <c r="P14" s="15"/>
      <c r="Q14" s="15">
        <v>1</v>
      </c>
    </row>
    <row r="15" spans="1:17" ht="45" x14ac:dyDescent="0.25">
      <c r="A15" s="4" t="s">
        <v>43</v>
      </c>
      <c r="B15" s="7" t="s">
        <v>45</v>
      </c>
      <c r="C15" s="10">
        <v>2024</v>
      </c>
      <c r="D15" s="10"/>
      <c r="E15" s="4" t="s">
        <v>44</v>
      </c>
      <c r="F15" s="7" t="s">
        <v>46</v>
      </c>
      <c r="G15" s="9" t="s">
        <v>31</v>
      </c>
      <c r="H15" s="15"/>
      <c r="I15" s="15"/>
      <c r="J15" s="15"/>
      <c r="K15" s="15"/>
      <c r="L15" s="15"/>
      <c r="M15" s="15"/>
      <c r="N15" s="10"/>
      <c r="O15" s="10"/>
      <c r="P15" s="15"/>
      <c r="Q15" s="15">
        <v>1</v>
      </c>
    </row>
    <row r="16" spans="1:17" ht="60" x14ac:dyDescent="0.25">
      <c r="A16" s="4" t="s">
        <v>48</v>
      </c>
      <c r="B16" s="8" t="s">
        <v>173</v>
      </c>
      <c r="C16" s="10">
        <v>2024</v>
      </c>
      <c r="D16" s="10"/>
      <c r="E16" s="11" t="s">
        <v>49</v>
      </c>
      <c r="F16" s="7" t="s">
        <v>50</v>
      </c>
      <c r="G16" s="9" t="s">
        <v>31</v>
      </c>
      <c r="H16" s="10"/>
      <c r="I16" s="15">
        <v>1</v>
      </c>
      <c r="J16" s="15"/>
      <c r="K16" s="15"/>
      <c r="L16" s="15"/>
      <c r="M16" s="15"/>
      <c r="N16" s="15"/>
      <c r="O16" s="15"/>
      <c r="P16" s="15"/>
      <c r="Q16" s="15"/>
    </row>
    <row r="17" spans="1:17" ht="42.75" x14ac:dyDescent="0.25">
      <c r="A17" s="4" t="s">
        <v>51</v>
      </c>
      <c r="B17" s="8" t="s">
        <v>53</v>
      </c>
      <c r="C17" s="10">
        <v>2024</v>
      </c>
      <c r="D17" s="10"/>
      <c r="E17" s="4" t="s">
        <v>52</v>
      </c>
      <c r="F17" s="7" t="s">
        <v>54</v>
      </c>
      <c r="G17" s="9" t="s">
        <v>31</v>
      </c>
      <c r="H17" s="10"/>
      <c r="I17" s="15"/>
      <c r="J17" s="15"/>
      <c r="K17" s="15"/>
      <c r="L17" s="15"/>
      <c r="M17" s="15"/>
      <c r="N17" s="15"/>
      <c r="O17" s="15"/>
      <c r="P17" s="15"/>
      <c r="Q17" s="15">
        <v>1</v>
      </c>
    </row>
    <row r="18" spans="1:17" ht="42.75" x14ac:dyDescent="0.25">
      <c r="A18" s="4" t="s">
        <v>55</v>
      </c>
      <c r="B18" s="8" t="s">
        <v>58</v>
      </c>
      <c r="C18" s="10">
        <v>2024</v>
      </c>
      <c r="D18" s="10"/>
      <c r="E18" s="11" t="s">
        <v>56</v>
      </c>
      <c r="F18" s="7" t="s">
        <v>57</v>
      </c>
      <c r="G18" s="9" t="s">
        <v>31</v>
      </c>
      <c r="H18" s="15">
        <v>1</v>
      </c>
      <c r="I18" s="15"/>
      <c r="J18" s="10"/>
      <c r="K18" s="15"/>
      <c r="L18" s="15"/>
      <c r="M18" s="10"/>
      <c r="N18" s="15"/>
      <c r="O18" s="15"/>
      <c r="P18" s="15"/>
      <c r="Q18" s="15"/>
    </row>
    <row r="19" spans="1:17" ht="57.75" x14ac:dyDescent="0.25">
      <c r="A19" s="4" t="s">
        <v>151</v>
      </c>
      <c r="B19" s="8" t="s">
        <v>155</v>
      </c>
      <c r="C19" s="10">
        <v>2021</v>
      </c>
      <c r="D19" s="10"/>
      <c r="E19" s="34" t="s">
        <v>153</v>
      </c>
      <c r="F19" s="7" t="s">
        <v>154</v>
      </c>
      <c r="G19" s="16" t="s">
        <v>152</v>
      </c>
      <c r="H19" s="15">
        <v>1</v>
      </c>
      <c r="I19" s="15"/>
      <c r="J19" s="10"/>
      <c r="K19" s="15"/>
      <c r="L19" s="15"/>
      <c r="M19" s="10"/>
      <c r="N19" s="15"/>
      <c r="O19" s="15"/>
      <c r="P19" s="15"/>
      <c r="Q19" s="15"/>
    </row>
    <row r="20" spans="1:17" ht="45" x14ac:dyDescent="0.25">
      <c r="A20" s="4" t="s">
        <v>157</v>
      </c>
      <c r="B20" s="8" t="s">
        <v>155</v>
      </c>
      <c r="C20" s="10">
        <v>2022</v>
      </c>
      <c r="D20" s="10"/>
      <c r="E20" s="34" t="s">
        <v>158</v>
      </c>
      <c r="F20" s="7" t="s">
        <v>159</v>
      </c>
      <c r="G20" s="16" t="s">
        <v>152</v>
      </c>
      <c r="H20" s="15">
        <v>1</v>
      </c>
      <c r="I20" s="15"/>
      <c r="J20" s="10"/>
      <c r="K20" s="15"/>
      <c r="L20" s="15"/>
      <c r="M20" s="10"/>
      <c r="N20" s="15"/>
      <c r="O20" s="15"/>
      <c r="P20" s="15"/>
      <c r="Q20" s="15"/>
    </row>
    <row r="21" spans="1:17" ht="57.75" x14ac:dyDescent="0.25">
      <c r="A21" s="4" t="s">
        <v>160</v>
      </c>
      <c r="B21" s="8" t="s">
        <v>162</v>
      </c>
      <c r="C21" s="10">
        <v>2022</v>
      </c>
      <c r="D21" s="10"/>
      <c r="E21" s="34" t="s">
        <v>163</v>
      </c>
      <c r="F21" s="7" t="s">
        <v>161</v>
      </c>
      <c r="G21" s="16" t="s">
        <v>152</v>
      </c>
      <c r="H21" s="15"/>
      <c r="I21" s="15"/>
      <c r="J21" s="10"/>
      <c r="K21" s="15">
        <v>1</v>
      </c>
      <c r="L21" s="15"/>
      <c r="M21" s="10"/>
      <c r="N21" s="15"/>
      <c r="O21" s="15"/>
      <c r="P21" s="15"/>
      <c r="Q21" s="15"/>
    </row>
    <row r="22" spans="1:17" ht="57.75" x14ac:dyDescent="0.25">
      <c r="A22" s="7" t="s">
        <v>99</v>
      </c>
      <c r="B22" s="20" t="s">
        <v>156</v>
      </c>
      <c r="C22" s="10">
        <v>2023</v>
      </c>
      <c r="D22" s="10"/>
      <c r="E22" s="4" t="s">
        <v>108</v>
      </c>
      <c r="F22" s="7" t="s">
        <v>109</v>
      </c>
      <c r="G22" s="33" t="s">
        <v>166</v>
      </c>
      <c r="H22" s="15"/>
      <c r="I22" s="15"/>
      <c r="J22" s="15"/>
      <c r="K22" s="10">
        <v>1</v>
      </c>
      <c r="L22" s="15"/>
      <c r="M22" s="15"/>
      <c r="N22" s="15"/>
      <c r="O22" s="15"/>
      <c r="P22" s="15"/>
      <c r="Q22" s="15"/>
    </row>
    <row r="23" spans="1:17" ht="42.75" x14ac:dyDescent="0.25">
      <c r="A23" s="4" t="s">
        <v>60</v>
      </c>
      <c r="B23" s="8" t="s">
        <v>71</v>
      </c>
      <c r="C23" s="10">
        <v>2021</v>
      </c>
      <c r="D23" s="10"/>
      <c r="E23" s="34" t="s">
        <v>66</v>
      </c>
      <c r="F23" s="7" t="s">
        <v>67</v>
      </c>
      <c r="G23" s="9" t="s">
        <v>59</v>
      </c>
      <c r="H23" s="15"/>
      <c r="I23" s="15"/>
      <c r="J23" s="15"/>
      <c r="K23" s="15"/>
      <c r="L23" s="10"/>
      <c r="M23" s="15"/>
      <c r="N23" s="15"/>
      <c r="O23" s="15"/>
      <c r="P23" s="15">
        <v>1</v>
      </c>
      <c r="Q23" s="15"/>
    </row>
    <row r="24" spans="1:17" ht="57.75" x14ac:dyDescent="0.25">
      <c r="A24" s="7" t="s">
        <v>61</v>
      </c>
      <c r="B24" s="8" t="s">
        <v>70</v>
      </c>
      <c r="C24" s="10">
        <v>2021</v>
      </c>
      <c r="D24" s="10"/>
      <c r="E24" s="20" t="s">
        <v>68</v>
      </c>
      <c r="F24" s="7" t="s">
        <v>69</v>
      </c>
      <c r="G24" s="9" t="s">
        <v>59</v>
      </c>
      <c r="H24" s="15"/>
      <c r="I24" s="15"/>
      <c r="J24" s="15"/>
      <c r="K24" s="10"/>
      <c r="L24" s="15"/>
      <c r="M24" s="15"/>
      <c r="N24" s="15"/>
      <c r="O24" s="15"/>
      <c r="P24" s="15">
        <v>1</v>
      </c>
      <c r="Q24" s="15"/>
    </row>
    <row r="25" spans="1:17" ht="45" x14ac:dyDescent="0.25">
      <c r="A25" s="4" t="s">
        <v>62</v>
      </c>
      <c r="B25" s="8" t="s">
        <v>72</v>
      </c>
      <c r="C25" s="10">
        <v>2022</v>
      </c>
      <c r="D25" s="10"/>
      <c r="E25" s="34" t="s">
        <v>168</v>
      </c>
      <c r="F25" s="7" t="s">
        <v>73</v>
      </c>
      <c r="G25" s="9" t="s">
        <v>59</v>
      </c>
      <c r="H25" s="15"/>
      <c r="I25" s="15"/>
      <c r="J25" s="15"/>
      <c r="K25" s="10"/>
      <c r="L25" s="15"/>
      <c r="M25" s="15"/>
      <c r="N25" s="15"/>
      <c r="O25" s="15"/>
      <c r="P25" s="15">
        <v>1</v>
      </c>
      <c r="Q25" s="15"/>
    </row>
    <row r="26" spans="1:17" ht="45" x14ac:dyDescent="0.25">
      <c r="A26" s="4" t="s">
        <v>63</v>
      </c>
      <c r="B26" s="8" t="s">
        <v>72</v>
      </c>
      <c r="C26" s="10">
        <v>2022</v>
      </c>
      <c r="D26" s="10"/>
      <c r="E26" s="34" t="s">
        <v>167</v>
      </c>
      <c r="F26" s="7" t="s">
        <v>74</v>
      </c>
      <c r="G26" s="9" t="s">
        <v>59</v>
      </c>
      <c r="H26" s="15"/>
      <c r="I26" s="15"/>
      <c r="J26" s="15"/>
      <c r="K26" s="15"/>
      <c r="L26" s="15"/>
      <c r="M26" s="10"/>
      <c r="N26" s="15"/>
      <c r="O26" s="15"/>
      <c r="P26" s="15">
        <v>1</v>
      </c>
      <c r="Q26" s="15"/>
    </row>
    <row r="27" spans="1:17" ht="57.75" x14ac:dyDescent="0.25">
      <c r="A27" s="4" t="s">
        <v>64</v>
      </c>
      <c r="B27" s="8" t="s">
        <v>76</v>
      </c>
      <c r="C27" s="10">
        <v>2023</v>
      </c>
      <c r="D27" s="10"/>
      <c r="E27" s="4" t="s">
        <v>75</v>
      </c>
      <c r="F27" s="7" t="s">
        <v>77</v>
      </c>
      <c r="G27" s="9" t="s">
        <v>59</v>
      </c>
      <c r="H27" s="10"/>
      <c r="I27" s="15"/>
      <c r="J27" s="15">
        <v>1</v>
      </c>
      <c r="K27" s="15"/>
      <c r="L27" s="15"/>
      <c r="M27" s="15"/>
      <c r="N27" s="15"/>
      <c r="O27" s="15"/>
      <c r="P27" s="15"/>
      <c r="Q27" s="15"/>
    </row>
    <row r="28" spans="1:17" ht="45" x14ac:dyDescent="0.25">
      <c r="A28" s="7" t="s">
        <v>79</v>
      </c>
      <c r="B28" s="8" t="s">
        <v>78</v>
      </c>
      <c r="C28" s="10">
        <v>2024</v>
      </c>
      <c r="D28" s="10"/>
      <c r="E28" s="34" t="s">
        <v>169</v>
      </c>
      <c r="F28" s="7"/>
      <c r="G28" s="9" t="s">
        <v>59</v>
      </c>
      <c r="H28" s="10"/>
      <c r="I28" s="15"/>
      <c r="J28" s="15"/>
      <c r="K28" s="15">
        <v>1</v>
      </c>
      <c r="L28" s="15"/>
      <c r="M28" s="15"/>
      <c r="N28" s="15"/>
      <c r="O28" s="15"/>
      <c r="P28" s="15"/>
      <c r="Q28" s="15"/>
    </row>
    <row r="29" spans="1:17" ht="45" x14ac:dyDescent="0.25">
      <c r="A29" s="7" t="s">
        <v>65</v>
      </c>
      <c r="B29" s="8" t="s">
        <v>80</v>
      </c>
      <c r="C29" s="10">
        <v>2024</v>
      </c>
      <c r="D29" s="10"/>
      <c r="E29" s="34" t="s">
        <v>170</v>
      </c>
      <c r="F29" s="7"/>
      <c r="G29" s="9" t="s">
        <v>59</v>
      </c>
      <c r="H29" s="15"/>
      <c r="I29" s="10"/>
      <c r="J29" s="15"/>
      <c r="K29" s="15">
        <v>1</v>
      </c>
      <c r="L29" s="15"/>
      <c r="M29" s="15"/>
      <c r="N29" s="15"/>
      <c r="O29" s="15"/>
      <c r="P29" s="15"/>
      <c r="Q29" s="15"/>
    </row>
    <row r="30" spans="1:17" ht="57.75" x14ac:dyDescent="0.25">
      <c r="A30" s="7" t="s">
        <v>81</v>
      </c>
      <c r="B30" s="8" t="s">
        <v>88</v>
      </c>
      <c r="C30" s="10">
        <v>2021</v>
      </c>
      <c r="D30" s="10"/>
      <c r="E30" s="11" t="s">
        <v>86</v>
      </c>
      <c r="F30" s="7" t="s">
        <v>87</v>
      </c>
      <c r="G30" s="9" t="s">
        <v>85</v>
      </c>
      <c r="H30" s="15">
        <v>1</v>
      </c>
      <c r="I30" s="15"/>
      <c r="J30" s="15"/>
      <c r="K30" s="15"/>
      <c r="L30" s="15"/>
      <c r="M30" s="10"/>
      <c r="N30" s="15"/>
      <c r="O30" s="15"/>
      <c r="P30" s="15"/>
      <c r="Q30" s="15"/>
    </row>
    <row r="31" spans="1:17" ht="42.75" x14ac:dyDescent="0.25">
      <c r="A31" s="7" t="s">
        <v>82</v>
      </c>
      <c r="B31" s="8" t="s">
        <v>88</v>
      </c>
      <c r="C31" s="10">
        <v>2022</v>
      </c>
      <c r="D31" s="10"/>
      <c r="E31" s="4" t="s">
        <v>89</v>
      </c>
      <c r="F31" s="7" t="s">
        <v>90</v>
      </c>
      <c r="G31" s="9" t="s">
        <v>85</v>
      </c>
      <c r="H31" s="10">
        <v>1</v>
      </c>
      <c r="I31" s="15"/>
      <c r="J31" s="15"/>
      <c r="K31" s="15"/>
      <c r="L31" s="15"/>
      <c r="M31" s="15"/>
      <c r="N31" s="15"/>
      <c r="O31" s="15"/>
      <c r="P31" s="15"/>
      <c r="Q31" s="15"/>
    </row>
    <row r="32" spans="1:17" ht="75" x14ac:dyDescent="0.25">
      <c r="A32" s="7" t="s">
        <v>83</v>
      </c>
      <c r="B32" s="8" t="s">
        <v>92</v>
      </c>
      <c r="C32" s="10">
        <v>2022</v>
      </c>
      <c r="D32" s="10"/>
      <c r="E32" s="34" t="s">
        <v>93</v>
      </c>
      <c r="F32" s="7" t="s">
        <v>91</v>
      </c>
      <c r="G32" s="33" t="s">
        <v>164</v>
      </c>
      <c r="H32" s="10"/>
      <c r="I32" s="15"/>
      <c r="J32" s="15"/>
      <c r="K32" s="15"/>
      <c r="L32" s="15"/>
      <c r="M32" s="15"/>
      <c r="N32" s="15"/>
      <c r="O32" s="15"/>
      <c r="P32" s="15"/>
      <c r="Q32" s="15">
        <v>1</v>
      </c>
    </row>
    <row r="33" spans="1:17" ht="57.75" x14ac:dyDescent="0.25">
      <c r="A33" s="7" t="s">
        <v>84</v>
      </c>
      <c r="B33" s="8" t="s">
        <v>171</v>
      </c>
      <c r="C33" s="10">
        <v>2023</v>
      </c>
      <c r="D33" s="10"/>
      <c r="E33" s="11" t="s">
        <v>94</v>
      </c>
      <c r="F33" s="7" t="s">
        <v>95</v>
      </c>
      <c r="G33" s="9" t="s">
        <v>85</v>
      </c>
      <c r="H33" s="15">
        <v>1</v>
      </c>
      <c r="I33" s="15"/>
      <c r="J33" s="15"/>
      <c r="K33" s="15"/>
      <c r="L33" s="15"/>
      <c r="M33" s="15"/>
      <c r="N33" s="15"/>
      <c r="O33" s="15"/>
      <c r="P33" s="15"/>
      <c r="Q33" s="10"/>
    </row>
    <row r="34" spans="1:17" ht="42.75" x14ac:dyDescent="0.25">
      <c r="A34" s="7" t="s">
        <v>96</v>
      </c>
      <c r="B34" s="8" t="s">
        <v>102</v>
      </c>
      <c r="C34" s="10">
        <v>2021</v>
      </c>
      <c r="D34" s="10"/>
      <c r="E34" s="34" t="s">
        <v>101</v>
      </c>
      <c r="F34" s="7" t="s">
        <v>103</v>
      </c>
      <c r="G34" s="33" t="s">
        <v>165</v>
      </c>
      <c r="H34" s="15"/>
      <c r="I34" s="10">
        <v>1</v>
      </c>
      <c r="J34" s="15"/>
      <c r="K34" s="15"/>
      <c r="L34" s="15"/>
      <c r="M34" s="15"/>
      <c r="N34" s="15"/>
      <c r="O34" s="15"/>
      <c r="P34" s="15"/>
      <c r="Q34" s="15"/>
    </row>
    <row r="35" spans="1:17" ht="57.75" x14ac:dyDescent="0.25">
      <c r="A35" s="7" t="s">
        <v>97</v>
      </c>
      <c r="B35" s="8" t="s">
        <v>175</v>
      </c>
      <c r="C35" s="10">
        <v>2022</v>
      </c>
      <c r="D35" s="10"/>
      <c r="E35" s="4" t="s">
        <v>104</v>
      </c>
      <c r="F35" s="7" t="s">
        <v>105</v>
      </c>
      <c r="G35" s="33" t="s">
        <v>165</v>
      </c>
      <c r="H35" s="10"/>
      <c r="I35" s="15">
        <v>1</v>
      </c>
      <c r="J35" s="15"/>
      <c r="K35" s="15"/>
      <c r="L35" s="15"/>
      <c r="M35" s="15"/>
      <c r="N35" s="15"/>
      <c r="O35" s="15"/>
      <c r="P35" s="15"/>
      <c r="Q35" s="15"/>
    </row>
    <row r="36" spans="1:17" ht="42.75" x14ac:dyDescent="0.25">
      <c r="A36" s="7" t="s">
        <v>98</v>
      </c>
      <c r="B36" s="8" t="s">
        <v>176</v>
      </c>
      <c r="C36" s="10">
        <v>2022</v>
      </c>
      <c r="D36" s="10"/>
      <c r="E36" s="34" t="s">
        <v>106</v>
      </c>
      <c r="F36" s="7" t="s">
        <v>107</v>
      </c>
      <c r="G36" s="33" t="s">
        <v>165</v>
      </c>
      <c r="H36" s="15"/>
      <c r="I36" s="15">
        <v>1</v>
      </c>
      <c r="J36" s="10"/>
      <c r="K36" s="15"/>
      <c r="L36" s="15"/>
      <c r="M36" s="15"/>
      <c r="N36" s="15"/>
      <c r="O36" s="15"/>
      <c r="P36" s="15"/>
      <c r="Q36" s="15"/>
    </row>
    <row r="37" spans="1:17" ht="45" x14ac:dyDescent="0.25">
      <c r="A37" s="7" t="s">
        <v>112</v>
      </c>
      <c r="B37" s="8" t="s">
        <v>177</v>
      </c>
      <c r="C37" s="10">
        <v>2023</v>
      </c>
      <c r="D37" s="10"/>
      <c r="E37" s="4" t="s">
        <v>110</v>
      </c>
      <c r="F37" s="7" t="s">
        <v>111</v>
      </c>
      <c r="G37" s="33" t="s">
        <v>165</v>
      </c>
      <c r="H37" s="15">
        <v>1</v>
      </c>
      <c r="I37" s="15"/>
      <c r="J37" s="15"/>
      <c r="K37" s="10"/>
      <c r="L37" s="15"/>
      <c r="M37" s="15"/>
      <c r="N37" s="15"/>
      <c r="O37" s="15"/>
      <c r="P37" s="15"/>
      <c r="Q37" s="15"/>
    </row>
    <row r="38" spans="1:17" ht="45" x14ac:dyDescent="0.25">
      <c r="A38" s="7" t="s">
        <v>100</v>
      </c>
      <c r="B38" s="8" t="s">
        <v>115</v>
      </c>
      <c r="C38" s="10">
        <v>2023</v>
      </c>
      <c r="D38" s="10"/>
      <c r="E38" s="34" t="s">
        <v>113</v>
      </c>
      <c r="F38" s="7" t="s">
        <v>114</v>
      </c>
      <c r="G38" s="33" t="s">
        <v>165</v>
      </c>
      <c r="H38" s="15"/>
      <c r="I38" s="10"/>
      <c r="J38" s="15">
        <v>1</v>
      </c>
      <c r="K38" s="15"/>
      <c r="L38" s="15"/>
      <c r="M38" s="15"/>
      <c r="N38" s="15"/>
      <c r="O38" s="15"/>
      <c r="P38" s="15"/>
      <c r="Q38" s="15"/>
    </row>
    <row r="39" spans="1:17" ht="57.75" x14ac:dyDescent="0.25">
      <c r="A39" s="7" t="s">
        <v>142</v>
      </c>
      <c r="B39" s="8" t="s">
        <v>145</v>
      </c>
      <c r="C39" s="10">
        <v>2021</v>
      </c>
      <c r="D39" s="10"/>
      <c r="E39" s="34" t="s">
        <v>143</v>
      </c>
      <c r="F39" s="7" t="s">
        <v>144</v>
      </c>
      <c r="G39" s="16" t="s">
        <v>135</v>
      </c>
      <c r="H39" s="35">
        <v>1</v>
      </c>
      <c r="I39" s="10"/>
      <c r="J39" s="15"/>
      <c r="K39" s="15"/>
      <c r="L39" s="15"/>
      <c r="M39" s="15"/>
      <c r="N39" s="15"/>
      <c r="O39" s="15"/>
      <c r="P39" s="15"/>
      <c r="Q39" s="15"/>
    </row>
    <row r="40" spans="1:17" ht="45" x14ac:dyDescent="0.25">
      <c r="A40" s="7" t="s">
        <v>147</v>
      </c>
      <c r="B40" s="8" t="s">
        <v>150</v>
      </c>
      <c r="C40" s="10">
        <v>2021</v>
      </c>
      <c r="D40" s="10"/>
      <c r="E40" s="34" t="s">
        <v>148</v>
      </c>
      <c r="F40" s="7" t="s">
        <v>149</v>
      </c>
      <c r="G40" s="16" t="s">
        <v>135</v>
      </c>
      <c r="H40" s="15"/>
      <c r="I40" s="10"/>
      <c r="J40" s="15"/>
      <c r="K40" s="15">
        <v>1</v>
      </c>
      <c r="L40" s="15"/>
      <c r="M40" s="15"/>
      <c r="N40" s="15"/>
      <c r="O40" s="15"/>
      <c r="P40" s="15"/>
      <c r="Q40" s="15"/>
    </row>
    <row r="41" spans="1:17" ht="57.75" x14ac:dyDescent="0.25">
      <c r="A41" s="7" t="s">
        <v>140</v>
      </c>
      <c r="B41" s="20" t="s">
        <v>146</v>
      </c>
      <c r="C41" s="10">
        <v>2022</v>
      </c>
      <c r="D41" s="10"/>
      <c r="E41" s="4" t="s">
        <v>141</v>
      </c>
      <c r="F41" s="7" t="s">
        <v>137</v>
      </c>
      <c r="G41" s="16" t="s">
        <v>135</v>
      </c>
      <c r="H41" s="15"/>
      <c r="I41" s="10"/>
      <c r="J41" s="15"/>
      <c r="K41" s="15">
        <v>1</v>
      </c>
      <c r="L41" s="15"/>
      <c r="M41" s="15"/>
      <c r="N41" s="15"/>
      <c r="O41" s="15"/>
      <c r="P41" s="15"/>
      <c r="Q41" s="15"/>
    </row>
    <row r="42" spans="1:17" ht="45" x14ac:dyDescent="0.25">
      <c r="A42" s="7" t="s">
        <v>138</v>
      </c>
      <c r="B42" s="7" t="s">
        <v>136</v>
      </c>
      <c r="C42" s="10">
        <v>2023</v>
      </c>
      <c r="D42" s="10"/>
      <c r="E42" s="34" t="s">
        <v>139</v>
      </c>
      <c r="F42" s="7" t="s">
        <v>137</v>
      </c>
      <c r="G42" s="16" t="s">
        <v>135</v>
      </c>
      <c r="H42" s="15"/>
      <c r="I42" s="10"/>
      <c r="J42" s="15">
        <v>1</v>
      </c>
      <c r="K42" s="15"/>
      <c r="L42" s="15"/>
      <c r="M42" s="15"/>
      <c r="N42" s="15"/>
      <c r="O42" s="15"/>
      <c r="P42" s="15"/>
      <c r="Q42" s="15"/>
    </row>
    <row r="43" spans="1:17" ht="60" x14ac:dyDescent="0.25">
      <c r="A43" s="7" t="s">
        <v>116</v>
      </c>
      <c r="B43" s="7" t="s">
        <v>121</v>
      </c>
      <c r="C43" s="9">
        <v>2021</v>
      </c>
      <c r="D43" s="10"/>
      <c r="E43" s="34" t="s">
        <v>122</v>
      </c>
      <c r="F43" s="7" t="s">
        <v>123</v>
      </c>
      <c r="G43" s="9" t="s">
        <v>121</v>
      </c>
      <c r="H43" s="15"/>
      <c r="I43" s="10"/>
      <c r="J43" s="15"/>
      <c r="K43" s="15"/>
      <c r="L43" s="15"/>
      <c r="M43" s="15"/>
      <c r="N43" s="15"/>
      <c r="O43" s="15">
        <v>1</v>
      </c>
      <c r="P43" s="15"/>
      <c r="Q43" s="15"/>
    </row>
    <row r="44" spans="1:17" ht="42.75" x14ac:dyDescent="0.25">
      <c r="A44" s="7" t="s">
        <v>117</v>
      </c>
      <c r="B44" s="7" t="s">
        <v>121</v>
      </c>
      <c r="C44" s="10">
        <v>2021</v>
      </c>
      <c r="D44" s="10"/>
      <c r="E44" s="4" t="s">
        <v>124</v>
      </c>
      <c r="F44" s="7" t="s">
        <v>125</v>
      </c>
      <c r="G44" s="9" t="s">
        <v>121</v>
      </c>
      <c r="H44" s="10">
        <v>1</v>
      </c>
      <c r="I44" s="15"/>
      <c r="J44" s="15"/>
      <c r="K44" s="15"/>
      <c r="L44" s="15"/>
      <c r="M44" s="15"/>
      <c r="N44" s="15"/>
      <c r="O44" s="15"/>
      <c r="P44" s="15"/>
      <c r="Q44" s="15"/>
    </row>
    <row r="45" spans="1:17" ht="60" x14ac:dyDescent="0.25">
      <c r="A45" s="7" t="s">
        <v>118</v>
      </c>
      <c r="B45" s="8" t="s">
        <v>127</v>
      </c>
      <c r="C45" s="10">
        <v>2022</v>
      </c>
      <c r="D45" s="10"/>
      <c r="E45" s="34" t="s">
        <v>126</v>
      </c>
      <c r="F45" s="4"/>
      <c r="G45" s="9" t="s">
        <v>121</v>
      </c>
      <c r="H45" s="15"/>
      <c r="I45" s="15"/>
      <c r="J45" s="15"/>
      <c r="K45" s="15"/>
      <c r="L45" s="15"/>
      <c r="M45" s="15"/>
      <c r="N45" s="15"/>
      <c r="O45" s="15">
        <v>1</v>
      </c>
      <c r="P45" s="15"/>
      <c r="Q45" s="15"/>
    </row>
    <row r="46" spans="1:17" ht="45" x14ac:dyDescent="0.25">
      <c r="A46" s="7" t="s">
        <v>119</v>
      </c>
      <c r="B46" s="7" t="s">
        <v>129</v>
      </c>
      <c r="C46" s="10">
        <v>2023</v>
      </c>
      <c r="D46" s="10"/>
      <c r="E46" s="4" t="s">
        <v>128</v>
      </c>
      <c r="F46" s="7" t="s">
        <v>130</v>
      </c>
      <c r="G46" s="9" t="s">
        <v>121</v>
      </c>
      <c r="H46" s="15">
        <v>1</v>
      </c>
      <c r="I46" s="15"/>
      <c r="J46" s="15"/>
      <c r="K46" s="15"/>
      <c r="L46" s="15"/>
      <c r="M46" s="15"/>
      <c r="N46" s="15"/>
      <c r="O46" s="15"/>
      <c r="P46" s="15"/>
      <c r="Q46" s="15"/>
    </row>
    <row r="47" spans="1:17" ht="42.75" x14ac:dyDescent="0.25">
      <c r="A47" s="7" t="s">
        <v>120</v>
      </c>
      <c r="B47" s="7" t="s">
        <v>132</v>
      </c>
      <c r="C47" s="10">
        <v>2023</v>
      </c>
      <c r="D47" s="10"/>
      <c r="E47" s="4" t="s">
        <v>131</v>
      </c>
      <c r="F47" s="7" t="s">
        <v>133</v>
      </c>
      <c r="G47" s="9" t="s">
        <v>121</v>
      </c>
      <c r="H47" s="15">
        <v>1</v>
      </c>
      <c r="I47" s="15"/>
      <c r="J47" s="15"/>
      <c r="K47" s="15"/>
      <c r="L47" s="15"/>
      <c r="M47" s="15"/>
      <c r="N47" s="15"/>
      <c r="O47" s="15"/>
      <c r="P47" s="15"/>
      <c r="Q47" s="15"/>
    </row>
    <row r="48" spans="1:17" x14ac:dyDescent="0.25">
      <c r="A48" s="6"/>
      <c r="B48" s="6"/>
      <c r="C48" s="17"/>
      <c r="D48" s="17"/>
      <c r="E48" s="6"/>
      <c r="F48" s="6"/>
      <c r="G48" s="17"/>
      <c r="H48" s="18"/>
      <c r="I48" s="18"/>
      <c r="J48" s="18"/>
      <c r="K48" s="18"/>
      <c r="L48" s="18"/>
      <c r="M48" s="18"/>
      <c r="N48" s="18"/>
      <c r="O48" s="18"/>
      <c r="P48" s="18"/>
      <c r="Q48" s="18"/>
    </row>
    <row r="49" spans="1:17" x14ac:dyDescent="0.25">
      <c r="A49" s="6"/>
      <c r="B49" s="6"/>
      <c r="C49" s="17"/>
      <c r="D49" s="17"/>
      <c r="E49" s="6"/>
      <c r="F49" s="6"/>
      <c r="G49" s="17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spans="1:17" x14ac:dyDescent="0.25">
      <c r="A50" s="6"/>
      <c r="B50" s="6"/>
      <c r="C50" s="17"/>
      <c r="D50" s="17"/>
      <c r="E50" s="6"/>
      <c r="F50" s="6"/>
      <c r="G50" s="17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17" x14ac:dyDescent="0.25">
      <c r="A51" s="6"/>
      <c r="B51" s="6"/>
      <c r="C51" s="17"/>
      <c r="D51" s="17"/>
      <c r="E51" s="6"/>
      <c r="F51" s="6"/>
      <c r="G51" s="17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spans="1:17" x14ac:dyDescent="0.25">
      <c r="A52" s="6"/>
      <c r="B52" s="6"/>
      <c r="C52" s="17"/>
      <c r="D52" s="17"/>
      <c r="E52" s="6"/>
      <c r="F52" s="6"/>
      <c r="G52" s="17"/>
      <c r="H52" s="18"/>
      <c r="I52" s="18"/>
      <c r="J52" s="18"/>
      <c r="K52" s="18"/>
      <c r="L52" s="18"/>
      <c r="M52" s="18"/>
      <c r="N52" s="18"/>
      <c r="O52" s="18"/>
      <c r="P52" s="18"/>
      <c r="Q52" s="18"/>
    </row>
    <row r="53" spans="1:17" x14ac:dyDescent="0.25">
      <c r="A53" s="6"/>
      <c r="B53" s="6"/>
      <c r="C53" s="17"/>
      <c r="D53" s="17"/>
      <c r="E53" s="6"/>
      <c r="F53" s="6"/>
      <c r="G53" s="17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 spans="1:17" x14ac:dyDescent="0.25">
      <c r="A54" s="6"/>
      <c r="B54" s="6"/>
      <c r="C54" s="17"/>
      <c r="D54" s="17"/>
      <c r="E54" s="6"/>
      <c r="F54" s="6"/>
      <c r="G54" s="17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spans="1:17" x14ac:dyDescent="0.25">
      <c r="A55" s="6"/>
      <c r="B55" s="6"/>
      <c r="C55" s="17"/>
      <c r="D55" s="17"/>
      <c r="E55" s="6"/>
      <c r="F55" s="6"/>
      <c r="G55" s="17"/>
      <c r="H55" s="18"/>
      <c r="I55" s="18"/>
      <c r="J55" s="18"/>
      <c r="K55" s="18"/>
      <c r="L55" s="18"/>
      <c r="M55" s="18"/>
      <c r="N55" s="18"/>
      <c r="O55" s="18"/>
      <c r="P55" s="18"/>
      <c r="Q55" s="18"/>
    </row>
    <row r="56" spans="1:17" x14ac:dyDescent="0.25">
      <c r="A56" s="6"/>
      <c r="B56" s="6"/>
      <c r="C56" s="17"/>
      <c r="D56" s="17"/>
      <c r="E56" s="6"/>
      <c r="F56" s="6"/>
      <c r="G56" s="17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1:17" x14ac:dyDescent="0.25">
      <c r="A57" s="6"/>
      <c r="B57" s="6"/>
      <c r="C57" s="17"/>
      <c r="D57" s="17"/>
      <c r="E57" s="6"/>
      <c r="F57" s="6"/>
      <c r="G57" s="17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spans="1:17" x14ac:dyDescent="0.25">
      <c r="A58" s="6"/>
      <c r="B58" s="6"/>
      <c r="C58" s="17"/>
      <c r="D58" s="17"/>
      <c r="E58" s="6"/>
      <c r="F58" s="6"/>
      <c r="G58" s="17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1:17" x14ac:dyDescent="0.25">
      <c r="A59" s="6"/>
      <c r="B59" s="6"/>
      <c r="C59" s="17"/>
      <c r="D59" s="17"/>
      <c r="E59" s="6"/>
      <c r="F59" s="6"/>
      <c r="G59" s="17"/>
      <c r="H59" s="18"/>
      <c r="I59" s="18"/>
      <c r="J59" s="18"/>
      <c r="K59" s="18"/>
      <c r="L59" s="18"/>
      <c r="M59" s="18"/>
      <c r="N59" s="18"/>
      <c r="O59" s="18"/>
      <c r="P59" s="18"/>
      <c r="Q59" s="18"/>
    </row>
    <row r="60" spans="1:17" x14ac:dyDescent="0.25">
      <c r="A60" s="6"/>
      <c r="B60" s="6"/>
      <c r="C60" s="17"/>
      <c r="D60" s="17"/>
      <c r="E60" s="6"/>
      <c r="F60" s="6"/>
      <c r="G60" s="17"/>
      <c r="H60" s="18"/>
      <c r="I60" s="18"/>
      <c r="J60" s="18"/>
      <c r="K60" s="18"/>
      <c r="L60" s="18"/>
      <c r="M60" s="18"/>
      <c r="N60" s="18"/>
      <c r="O60" s="18"/>
      <c r="P60" s="18"/>
      <c r="Q60" s="18"/>
    </row>
    <row r="61" spans="1:17" x14ac:dyDescent="0.25">
      <c r="A61" s="6"/>
      <c r="B61" s="6"/>
      <c r="C61" s="17"/>
      <c r="D61" s="17"/>
      <c r="E61" s="6"/>
      <c r="F61" s="6"/>
      <c r="G61" s="17"/>
      <c r="H61" s="18"/>
      <c r="I61" s="18"/>
      <c r="J61" s="18"/>
      <c r="K61" s="18"/>
      <c r="L61" s="18"/>
      <c r="M61" s="18"/>
      <c r="N61" s="18"/>
      <c r="O61" s="18"/>
      <c r="P61" s="18"/>
      <c r="Q61" s="18"/>
    </row>
    <row r="62" spans="1:17" x14ac:dyDescent="0.25">
      <c r="A62" s="6"/>
      <c r="B62" s="6"/>
      <c r="C62" s="17"/>
      <c r="D62" s="17"/>
      <c r="E62" s="6"/>
      <c r="F62" s="19"/>
      <c r="G62" s="17"/>
      <c r="H62" s="18"/>
      <c r="I62" s="18"/>
      <c r="J62" s="18"/>
      <c r="K62" s="18"/>
      <c r="L62" s="18"/>
      <c r="M62" s="18"/>
      <c r="N62" s="18"/>
      <c r="O62" s="18"/>
      <c r="P62" s="18"/>
      <c r="Q62" s="18"/>
    </row>
    <row r="63" spans="1:17" x14ac:dyDescent="0.25">
      <c r="A63" s="6"/>
      <c r="B63" s="6"/>
      <c r="C63" s="17"/>
      <c r="D63" s="17"/>
      <c r="E63" s="6"/>
      <c r="F63" s="6"/>
      <c r="G63" s="17"/>
      <c r="H63" s="18"/>
      <c r="I63" s="18"/>
      <c r="J63" s="18"/>
      <c r="K63" s="18"/>
      <c r="L63" s="18"/>
      <c r="M63" s="18"/>
      <c r="N63" s="18"/>
      <c r="O63" s="18"/>
      <c r="P63" s="18"/>
      <c r="Q63" s="18"/>
    </row>
    <row r="64" spans="1:17" x14ac:dyDescent="0.25">
      <c r="A64" s="6"/>
      <c r="B64" s="6"/>
      <c r="C64" s="17"/>
      <c r="D64" s="17"/>
      <c r="E64" s="6"/>
      <c r="F64" s="19"/>
      <c r="G64" s="17"/>
      <c r="H64" s="18"/>
      <c r="I64" s="18"/>
      <c r="J64" s="18"/>
      <c r="K64" s="18"/>
      <c r="L64" s="18"/>
      <c r="M64" s="18"/>
      <c r="N64" s="18"/>
      <c r="O64" s="18"/>
      <c r="P64" s="18"/>
      <c r="Q64" s="18"/>
    </row>
    <row r="65" spans="1:17" x14ac:dyDescent="0.25">
      <c r="A65" s="6"/>
      <c r="B65" s="6"/>
      <c r="C65" s="17"/>
      <c r="D65" s="17"/>
      <c r="E65" s="6"/>
      <c r="F65" s="19"/>
      <c r="G65" s="17"/>
      <c r="H65" s="18"/>
      <c r="I65" s="18"/>
      <c r="J65" s="18"/>
      <c r="K65" s="18"/>
      <c r="L65" s="18"/>
      <c r="M65" s="18"/>
      <c r="N65" s="18"/>
      <c r="O65" s="18"/>
      <c r="P65" s="18"/>
      <c r="Q65" s="18"/>
    </row>
    <row r="66" spans="1:17" x14ac:dyDescent="0.25">
      <c r="A66" s="6"/>
      <c r="B66" s="6"/>
      <c r="C66" s="17"/>
      <c r="D66" s="17"/>
      <c r="E66" s="6"/>
      <c r="F66" s="19"/>
      <c r="G66" s="17"/>
      <c r="H66" s="18"/>
      <c r="I66" s="18"/>
      <c r="J66" s="18"/>
      <c r="K66" s="18"/>
      <c r="L66" s="18"/>
      <c r="M66" s="18"/>
      <c r="N66" s="18"/>
      <c r="O66" s="18"/>
      <c r="P66" s="18"/>
      <c r="Q66" s="18"/>
    </row>
    <row r="67" spans="1:17" x14ac:dyDescent="0.25">
      <c r="A67" s="6"/>
      <c r="B67" s="6"/>
      <c r="C67" s="18"/>
      <c r="D67" s="18"/>
      <c r="E67" s="19"/>
      <c r="F67" s="19"/>
      <c r="G67" s="17"/>
      <c r="H67" s="18"/>
      <c r="I67" s="18"/>
      <c r="J67" s="18"/>
      <c r="K67" s="18"/>
      <c r="L67" s="18"/>
      <c r="M67" s="18"/>
      <c r="N67" s="18"/>
      <c r="O67" s="18"/>
      <c r="P67" s="18"/>
      <c r="Q67" s="18"/>
    </row>
    <row r="68" spans="1:17" x14ac:dyDescent="0.25">
      <c r="A68" s="6"/>
      <c r="B68" s="6"/>
      <c r="C68" s="17"/>
      <c r="D68" s="17"/>
      <c r="E68" s="6"/>
      <c r="F68" s="6"/>
      <c r="G68" s="17"/>
      <c r="H68" s="18"/>
      <c r="I68" s="18"/>
      <c r="J68" s="18"/>
      <c r="K68" s="18"/>
      <c r="L68" s="18"/>
      <c r="M68" s="18"/>
      <c r="N68" s="18"/>
      <c r="O68" s="18"/>
      <c r="P68" s="18"/>
      <c r="Q68" s="18"/>
    </row>
    <row r="69" spans="1:17" x14ac:dyDescent="0.25">
      <c r="A69" s="6"/>
      <c r="B69" s="6"/>
      <c r="C69" s="17"/>
      <c r="D69" s="17"/>
      <c r="E69" s="6"/>
      <c r="F69" s="6"/>
      <c r="G69" s="17"/>
      <c r="H69" s="18"/>
      <c r="I69" s="18"/>
      <c r="J69" s="18"/>
      <c r="K69" s="18"/>
      <c r="L69" s="18"/>
      <c r="M69" s="18"/>
      <c r="N69" s="18"/>
      <c r="O69" s="18"/>
      <c r="P69" s="18"/>
      <c r="Q69" s="18"/>
    </row>
    <row r="70" spans="1:17" x14ac:dyDescent="0.25">
      <c r="A70" s="6"/>
      <c r="B70" s="6"/>
      <c r="C70" s="17"/>
      <c r="D70" s="17"/>
      <c r="E70" s="6"/>
      <c r="F70" s="17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</row>
    <row r="71" spans="1:17" x14ac:dyDescent="0.25">
      <c r="A71" s="6"/>
      <c r="B71" s="6"/>
      <c r="C71" s="17"/>
      <c r="D71" s="17"/>
      <c r="E71" s="6"/>
      <c r="F71" s="17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</row>
    <row r="72" spans="1:17" x14ac:dyDescent="0.25">
      <c r="A72" s="6"/>
      <c r="B72" s="6"/>
      <c r="C72" s="17"/>
      <c r="D72" s="17"/>
      <c r="E72" s="6"/>
      <c r="F72" s="17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</row>
    <row r="73" spans="1:17" x14ac:dyDescent="0.25">
      <c r="A73" s="19"/>
      <c r="B73" s="19"/>
      <c r="C73" s="18"/>
      <c r="D73" s="18"/>
      <c r="E73" s="19"/>
      <c r="F73" s="19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</row>
    <row r="74" spans="1:17" x14ac:dyDescent="0.25">
      <c r="A74" s="19"/>
      <c r="B74" s="19"/>
      <c r="C74" s="18"/>
      <c r="D74" s="18"/>
      <c r="E74" s="19"/>
      <c r="F74" s="19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</row>
    <row r="75" spans="1:17" x14ac:dyDescent="0.25">
      <c r="A75" s="19"/>
      <c r="B75" s="19"/>
      <c r="C75" s="18"/>
      <c r="D75" s="18"/>
      <c r="E75" s="19"/>
      <c r="F75" s="19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</row>
    <row r="76" spans="1:17" x14ac:dyDescent="0.25">
      <c r="A76" s="19"/>
      <c r="B76" s="19"/>
      <c r="C76" s="18"/>
      <c r="D76" s="18"/>
      <c r="E76" s="19"/>
      <c r="F76" s="19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</row>
    <row r="77" spans="1:17" x14ac:dyDescent="0.25">
      <c r="A77" s="19"/>
      <c r="B77" s="19"/>
      <c r="C77" s="18"/>
      <c r="D77" s="18"/>
      <c r="E77" s="19"/>
      <c r="F77" s="19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</row>
  </sheetData>
  <mergeCells count="1">
    <mergeCell ref="H9:L9"/>
  </mergeCells>
  <phoneticPr fontId="9" type="noConversion"/>
  <pageMargins left="0.7" right="0.7" top="0.75" bottom="0.75" header="0.3" footer="0.3"/>
  <pageSetup paperSize="9" scale="4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Met Calculo</vt:lpstr>
      <vt:lpstr>FWCI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Paulo Roberto Sloboda</cp:lastModifiedBy>
  <cp:revision>2</cp:revision>
  <dcterms:created xsi:type="dcterms:W3CDTF">2023-09-13T00:48:40Z</dcterms:created>
  <dcterms:modified xsi:type="dcterms:W3CDTF">2024-11-29T00:01:46Z</dcterms:modified>
</cp:coreProperties>
</file>