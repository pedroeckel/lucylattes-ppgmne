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t Calculo" sheetId="1" r:id="rId4"/>
    <sheet state="visible" name="FWCI" sheetId="2" r:id="rId5"/>
  </sheets>
  <definedNames/>
  <calcPr/>
  <extLst>
    <ext uri="GoogleSheetsCustomDataVersion2">
      <go:sheetsCustomData xmlns:go="http://customooxmlschemas.google.com/" r:id="rId6" roundtripDataChecksum="OKYqWrFzOtVQNDSGSFSRf6RvOeY9WqqTeETU5GErJsQ="/>
    </ext>
  </extLst>
</workbook>
</file>

<file path=xl/sharedStrings.xml><?xml version="1.0" encoding="utf-8"?>
<sst xmlns="http://schemas.openxmlformats.org/spreadsheetml/2006/main" count="260" uniqueCount="207">
  <si>
    <t>﻿Data set</t>
  </si>
  <si>
    <t>Publications in PPGMNE</t>
  </si>
  <si>
    <t>© 2023 Elsevier B.V. All rights reserved. SciVal, RELX Group and the RE symbol are trade marks of RELX Intellectual Properties SA, used under license.</t>
  </si>
  <si>
    <t>Year range</t>
  </si>
  <si>
    <t>2021 to &gt;2024</t>
  </si>
  <si>
    <t/>
  </si>
  <si>
    <t>Total Parcial</t>
  </si>
  <si>
    <t>A1</t>
  </si>
  <si>
    <t>A2</t>
  </si>
  <si>
    <t>A3</t>
  </si>
  <si>
    <t>A4</t>
  </si>
  <si>
    <t>B1</t>
  </si>
  <si>
    <t>B2</t>
  </si>
  <si>
    <t>B3</t>
  </si>
  <si>
    <t>B4</t>
  </si>
  <si>
    <t>C</t>
  </si>
  <si>
    <t>X</t>
  </si>
  <si>
    <t>Data source</t>
  </si>
  <si>
    <t>Scopus</t>
  </si>
  <si>
    <t>Date last updated</t>
  </si>
  <si>
    <t>Date exported</t>
  </si>
  <si>
    <t>FWCI 50</t>
  </si>
  <si>
    <t>Pontuação</t>
  </si>
  <si>
    <t>Title</t>
  </si>
  <si>
    <t>Authors</t>
  </si>
  <si>
    <t>Year</t>
  </si>
  <si>
    <t>Field-Weighted Citation Impact</t>
  </si>
  <si>
    <t>Reference</t>
  </si>
  <si>
    <t>DOI</t>
  </si>
  <si>
    <t>Docente Permanente</t>
  </si>
  <si>
    <t>Finite element analysis to predict temperature distribution in the human neck with abnormal thyroid: A proof of concept</t>
  </si>
  <si>
    <r>
      <rPr>
        <rFont val="Calibri"/>
        <color theme="1"/>
        <sz val="11.0"/>
      </rPr>
      <t>Andre Augusto Chagas Paz</t>
    </r>
    <r>
      <rPr>
        <rFont val="Arial"/>
        <color rgb="FF1F1F1F"/>
        <sz val="12.0"/>
      </rPr>
      <t>, </t>
    </r>
    <r>
      <rPr>
        <rFont val="Calibri"/>
        <color theme="1"/>
        <sz val="11.0"/>
      </rPr>
      <t>Mauren Abreu de Souza</t>
    </r>
    <r>
      <rPr>
        <rFont val="Arial"/>
        <color rgb="FF1F1F1F"/>
        <sz val="12.0"/>
      </rPr>
      <t xml:space="preserve">, </t>
    </r>
    <r>
      <rPr>
        <rFont val="Calibri"/>
        <color theme="1"/>
        <sz val="11.0"/>
      </rPr>
      <t>Paola Wyatt Brock</t>
    </r>
    <r>
      <rPr>
        <rFont val="Arial"/>
        <color rgb="FF1F1F1F"/>
        <sz val="12.0"/>
      </rPr>
      <t xml:space="preserve">, </t>
    </r>
    <r>
      <rPr>
        <rFont val="Calibri"/>
        <color theme="1"/>
        <sz val="11.0"/>
      </rPr>
      <t>Emílio Graciliano Ferreira Mercuri</t>
    </r>
  </si>
  <si>
    <r>
      <rPr>
        <rFont val="Calibri"/>
        <color theme="1"/>
        <sz val="11.0"/>
      </rPr>
      <t>Paz, A. A. C., de Souza, M. A., Brock, P. W., &amp; Mercuri, E. G. F. (2022). Finite element analysis to predict temperature distribution in the human neck with abnormal thyroid: A proof of concept. </t>
    </r>
    <r>
      <rPr>
        <rFont val="Arial"/>
        <i/>
        <color rgb="FF222222"/>
        <sz val="10.0"/>
      </rPr>
      <t>Computer Methods and Programs in Biomedicine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227</t>
    </r>
    <r>
      <rPr>
        <rFont val="Arial"/>
        <color rgb="FF222222"/>
        <sz val="10.0"/>
      </rPr>
      <t>, 107234.</t>
    </r>
  </si>
  <si>
    <t>10.1016/j.cmpb.2022.107234</t>
  </si>
  <si>
    <t>Emílio Graciliano Ferreira Mercuri</t>
  </si>
  <si>
    <t>Approximations of the extended Graetz problem to quantify particulate matter transport and deposition in tubes</t>
  </si>
  <si>
    <r>
      <rPr>
        <rFont val="Calibri"/>
        <color theme="1"/>
        <sz val="11.0"/>
      </rPr>
      <t>Denner Ribeiro</t>
    </r>
    <r>
      <rPr>
        <rFont val="Calibri"/>
        <color theme="1"/>
        <sz val="11.0"/>
      </rPr>
      <t> Machado</t>
    </r>
    <r>
      <rPr>
        <rFont val="Arial"/>
        <color rgb="FF1F1F1F"/>
        <sz val="12.0"/>
      </rPr>
      <t>, </t>
    </r>
    <r>
      <rPr>
        <rFont val="Calibri"/>
        <color theme="1"/>
        <sz val="11.0"/>
      </rPr>
      <t>Emílio Graciliano Ferreira Mercuri</t>
    </r>
    <r>
      <rPr>
        <rFont val="Arial"/>
        <color rgb="FF1F1F1F"/>
        <sz val="12.0"/>
      </rPr>
      <t xml:space="preserve">, </t>
    </r>
    <r>
      <rPr>
        <rFont val="Calibri"/>
        <color theme="1"/>
        <sz val="11.0"/>
      </rPr>
      <t>Steffen Manfred Noe</t>
    </r>
  </si>
  <si>
    <r>
      <rPr>
        <rFont val="Calibri"/>
        <color theme="1"/>
        <sz val="11.0"/>
      </rPr>
      <t>Machado, D. R., Mercuri, E. G. F., &amp; Noe, S. M. (2022). Approximations of the extended Graetz problem to quantify particulate matter transport and deposition in tubes. </t>
    </r>
    <r>
      <rPr>
        <rFont val="Arial"/>
        <i/>
        <color rgb="FF222222"/>
        <sz val="10.0"/>
      </rPr>
      <t>Applied Mathematical Modelling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112</t>
    </r>
    <r>
      <rPr>
        <rFont val="Arial"/>
        <color rgb="FF222222"/>
        <sz val="10.0"/>
      </rPr>
      <t>, 708-725.</t>
    </r>
  </si>
  <si>
    <t>10.1016/j.apm.2022.08.010</t>
  </si>
  <si>
    <t>Air pollution monitoring with Tradescantia hybrid and optical sensors in Curitiba and Araucária, Brazil</t>
  </si>
  <si>
    <t>Leatrice Talita Rodrigues, Emílio Graciliano Ferreira Mercuri, Steffen Manfred Noe</t>
  </si>
  <si>
    <r>
      <rPr>
        <rFont val="Calibri"/>
        <color theme="1"/>
        <sz val="11.0"/>
      </rPr>
      <t>Rodrigues, L. T., Mercuri, E. G. F., &amp; Noe, S. M. (2023). Air pollution monitoring with hybrid and optical sensors in Curitiba and Araucária, Brazil. </t>
    </r>
    <r>
      <rPr>
        <rFont val="Arial"/>
        <i/>
        <color rgb="FF222222"/>
        <sz val="10.0"/>
      </rPr>
      <t>Forestry Studies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78</t>
    </r>
    <r>
      <rPr>
        <rFont val="Arial"/>
        <color rgb="FF222222"/>
        <sz val="10.0"/>
      </rPr>
      <t>(1), 57-71.</t>
    </r>
  </si>
  <si>
    <t>10.2478/fsmu-2023-0005</t>
  </si>
  <si>
    <t>Water and carbon balances in a hemi-boreal forest</t>
  </si>
  <si>
    <t>Emílio Graciliano Ferreira Mercuri, Toomas Tamm, Steffen Manfred Noe</t>
  </si>
  <si>
    <r>
      <rPr>
        <rFont val="Calibri"/>
        <color theme="1"/>
        <sz val="11.0"/>
      </rPr>
      <t>Mercuri, E. G. F., Tamm, T., &amp; Noe, S. M. (2023). Water and carbon balances in a hemi-boreal forest. </t>
    </r>
    <r>
      <rPr>
        <rFont val="Arial"/>
        <i/>
        <color rgb="FF222222"/>
        <sz val="10.0"/>
      </rPr>
      <t>Forestry Studies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78</t>
    </r>
    <r>
      <rPr>
        <rFont val="Arial"/>
        <color rgb="FF222222"/>
        <sz val="10.0"/>
      </rPr>
      <t>(1), 72-90.</t>
    </r>
  </si>
  <si>
    <t>10.2478/fsmu-2023-0006</t>
  </si>
  <si>
    <t>Tradescantia response to air and soil pollution, stamen hair cells dataset and ANN color classification</t>
  </si>
  <si>
    <t>Leatrice Talita Rodrigues, Barbara Sanches Antunes Goeldner, Emílio Graciliano Ferreira Mercuri, Steffen Manfred Noe</t>
  </si>
  <si>
    <r>
      <rPr>
        <rFont val="Calibri"/>
        <color theme="1"/>
        <sz val="11.0"/>
      </rPr>
      <t>Rodrigues, L. T., Goeldner, B. S. A., Mercuri, E. G. F., &amp; Noe, S. M. (2024). Tradescantia response to air and soil pollution, stamen hair cells dataset and ANN color classification. </t>
    </r>
    <r>
      <rPr>
        <rFont val="Arial"/>
        <i/>
        <color rgb="FF222222"/>
        <sz val="10.0"/>
      </rPr>
      <t>Frontiers in Big Data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7</t>
    </r>
    <r>
      <rPr>
        <rFont val="Arial"/>
        <color rgb="FF222222"/>
        <sz val="10.0"/>
      </rPr>
      <t>, 1384240.</t>
    </r>
  </si>
  <si>
    <t>10.3389/fdata.2024.1384240</t>
  </si>
  <si>
    <t>Adding mechanobiological cell features to finite element analysis of an immediately loaded dental implant</t>
  </si>
  <si>
    <t>Poliana Alexandra Martinello, Andrés Felipe Cartagena-Molina, Lucas Kravchychyn Capelletti, Bruno Viezzer Fernandes, Ana Paula Gebert de Oliveira Franco, Emilio Graciliano Ferreira Mercuri, Nara Hellen Campanha Bombarda</t>
  </si>
  <si>
    <r>
      <rPr>
        <rFont val="Calibri"/>
        <color theme="1"/>
        <sz val="11.0"/>
      </rPr>
      <t>Martinello, P. A., Cartagena‐Molina, A. F., Capelletti, L. K., Fernandes, B. V., Franco, A. P. G. D. O., Mercuri, E. G. F., &amp; Bombarda, N. H. C. (2024). Adding mechanobiological cell features to finite element analysis of an immediately loaded dental implant. </t>
    </r>
    <r>
      <rPr>
        <rFont val="Arial"/>
        <i/>
        <color rgb="FF222222"/>
        <sz val="10.0"/>
      </rPr>
      <t>European Journal of Oral Sciences</t>
    </r>
    <r>
      <rPr>
        <rFont val="Arial"/>
        <color rgb="FF222222"/>
        <sz val="10.0"/>
      </rPr>
      <t>, e12992.</t>
    </r>
  </si>
  <si>
    <t>10.1111/eos.12992</t>
  </si>
  <si>
    <t>Particulate matter forecast and prediction in Curitiba using machine learning</t>
  </si>
  <si>
    <t>Marianna Gonçalves Dias Chaves, Adriel Bilharva da Silva, Emílio Graciliano Ferreira Mercuri, Steffen Manfred Noe</t>
  </si>
  <si>
    <r>
      <rPr>
        <rFont val="Calibri"/>
        <color theme="1"/>
        <sz val="11.0"/>
      </rPr>
      <t>Chaves, M. G. D., Da Silva, A. B., Mercuri, E. G. F., &amp; Noe, S. M. (2024). Particulate matter forecast and prediction in Curitiba using machine learning. </t>
    </r>
    <r>
      <rPr>
        <rFont val="Arial"/>
        <i/>
        <color rgb="FF222222"/>
        <sz val="10.0"/>
      </rPr>
      <t>Frontiers in Big Data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7</t>
    </r>
    <r>
      <rPr>
        <rFont val="Arial"/>
        <color rgb="FF222222"/>
        <sz val="10.0"/>
      </rPr>
      <t>, 1412837.</t>
    </r>
  </si>
  <si>
    <t>10.3389/fdata.2024.1412837</t>
  </si>
  <si>
    <t>Regionalization of GR4J model parameters for river flow prediction in Paraná, Brazil</t>
  </si>
  <si>
    <t>Louise Akemi Kuana, Arlan Scortegagna Almeida, Emílio Graciliano Ferreira Mercuri, and Steffen Manfred Noe</t>
  </si>
  <si>
    <r>
      <rPr>
        <rFont val="Calibri"/>
        <color theme="1"/>
        <sz val="11.0"/>
      </rPr>
      <t>Kuana, L. A., Almeida, A. S., Mercuri, E. G. F., &amp; Noe, S. M. (2024). Regionalization of GR4J model parameters for river flow prediction in Paraná, Brazil. </t>
    </r>
    <r>
      <rPr>
        <rFont val="Arial"/>
        <i/>
        <color rgb="FF222222"/>
        <sz val="10.0"/>
      </rPr>
      <t>Hydrology and Earth System Sciences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28</t>
    </r>
    <r>
      <rPr>
        <rFont val="Arial"/>
        <color rgb="FF222222"/>
        <sz val="10.0"/>
      </rPr>
      <t>(14), 3367-3390.</t>
    </r>
  </si>
  <si>
    <t>10.5194/hess-28-3367-2024</t>
  </si>
  <si>
    <t>A boundary element method formulation based on the Caputo derivative for the solution of the anomalous diffusion problem</t>
  </si>
  <si>
    <t>José Antônio Marques Carrer, Bruno dos Santos Solheid, Jon Trevelyan, Mohammed Seaid</t>
  </si>
  <si>
    <r>
      <rPr>
        <rFont val="Calibri"/>
        <color theme="1"/>
        <sz val="11.0"/>
      </rPr>
      <t>Carrer, J. A. M., Solheid, B. S., Trevelyan, J., &amp; Seaid, M. (2021). A boundary element method formulation based on the Caputo derivative for the solution of the anomalous diffusion problem. </t>
    </r>
    <r>
      <rPr>
        <rFont val="Arial"/>
        <i/>
        <color rgb="FF222222"/>
        <sz val="10.0"/>
      </rPr>
      <t>Engineering Analysis with Boundary Elements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122</t>
    </r>
    <r>
      <rPr>
        <rFont val="Arial"/>
        <color rgb="FF222222"/>
        <sz val="10.0"/>
      </rPr>
      <t>, 132-144.</t>
    </r>
  </si>
  <si>
    <t>10.1016/j.enganabound.2020.10.017</t>
  </si>
  <si>
    <t>José Antônio Marques Carrer</t>
  </si>
  <si>
    <t>A boundary element method formulation based on the Caputo derivative for the solution of the diffusion-wave equation</t>
  </si>
  <si>
    <r>
      <rPr>
        <rFont val="Calibri"/>
        <color theme="1"/>
        <sz val="11.0"/>
      </rPr>
      <t>Carrer, J. A. M., Solheid, B. S., Trevelyan, J., &amp; Seaïd, M. (2022). A boundary element method formulation based on the Caputo derivative for the solution of the diffusion-wave equation. </t>
    </r>
    <r>
      <rPr>
        <rFont val="Arial"/>
        <i/>
        <color rgb="FF222222"/>
        <sz val="10.0"/>
      </rPr>
      <t>Engineering with Computers</t>
    </r>
    <r>
      <rPr>
        <rFont val="Arial"/>
        <color rgb="FF222222"/>
        <sz val="10.0"/>
      </rPr>
      <t>, 1-18.</t>
    </r>
  </si>
  <si>
    <t>10.1007/s00366-021-01480-x</t>
  </si>
  <si>
    <t>The solution of the anomalous diffusion equation by a finite element method formulation based on the Caputo derivative</t>
  </si>
  <si>
    <t>Ramon Macedo Corrêa, José Antônio Marques Carrer, Bruno dos Santos Solheid, Jon Trevelyan</t>
  </si>
  <si>
    <r>
      <rPr>
        <rFont val="Calibri"/>
        <color theme="1"/>
        <sz val="11.0"/>
      </rPr>
      <t>Corrêa, R. M., Carrer, J. A. M., Solheid, B. S., &amp; Trevelyan, J. (2022). The solution of the anomalous diffusion equation by a finite element method formulation based on the Caputo derivative. </t>
    </r>
    <r>
      <rPr>
        <rFont val="Arial"/>
        <i/>
        <color rgb="FF222222"/>
        <sz val="10.0"/>
      </rPr>
      <t>Journal of the Brazilian Society of Mechanical Sciences and Engineering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44</t>
    </r>
    <r>
      <rPr>
        <rFont val="Arial"/>
        <color rgb="FF222222"/>
        <sz val="10.0"/>
      </rPr>
      <t>(6), 250.</t>
    </r>
  </si>
  <si>
    <t>10.1007/s40430-022-03544-5</t>
  </si>
  <si>
    <t>The solution of the wave-diffusion equation by a caputo derivative-based finite element method formulation</t>
  </si>
  <si>
    <t>Ramon Macedo Corrêa, José Antônio Marques Carrer, Bruno dos Santos Solheid, Jon Trevelyan, Marcos Arndt, Roberto Dalledone Machado</t>
  </si>
  <si>
    <r>
      <rPr>
        <rFont val="Calibri"/>
        <color theme="1"/>
        <sz val="11.0"/>
      </rPr>
      <t>Corrêa, R. M., Carrer, J. A. M., Solheid, B. S., Trevelyan, J., Arndt, M., &amp; Machado, R. D. (2023). The solution of the wave-diffusion equation by a caputo derivative-based finite element method formulation. </t>
    </r>
    <r>
      <rPr>
        <rFont val="Arial"/>
        <i/>
        <color rgb="FF222222"/>
        <sz val="10.0"/>
      </rPr>
      <t>Journal of the Brazilian Society of Mechanical Sciences and Engineering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45</t>
    </r>
    <r>
      <rPr>
        <rFont val="Arial"/>
        <color rgb="FF222222"/>
        <sz val="10.0"/>
      </rPr>
      <t>(5), 261.</t>
    </r>
  </si>
  <si>
    <t>10.1007/s40430-023-04175-0</t>
  </si>
  <si>
    <t>José Antônio Marques Carrer
Marcos Arndt
Roberto Dalledone Machado</t>
  </si>
  <si>
    <t>Effect of noise generated by pressure control valves in natural gas distribution networks</t>
  </si>
  <si>
    <t>Julio Cézar de Almeida, Glaúcio Antonio Weigert</t>
  </si>
  <si>
    <r>
      <rPr>
        <rFont val="Calibri"/>
        <color theme="1"/>
        <sz val="11.0"/>
      </rPr>
      <t>de Almeida, J. C., &amp; Weigert, G. A. (2021). Effect of noise generated by pressure control valves in natural gas distribution networks. </t>
    </r>
    <r>
      <rPr>
        <rFont val="Arial"/>
        <i/>
        <color rgb="FF222222"/>
        <sz val="10.0"/>
      </rPr>
      <t>International Journal of Advanced Engineering Research and Science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8</t>
    </r>
    <r>
      <rPr>
        <rFont val="Arial"/>
        <color rgb="FF222222"/>
        <sz val="10.0"/>
      </rPr>
      <t>, 7.</t>
    </r>
  </si>
  <si>
    <t>10.22161/ijaers.87.46</t>
  </si>
  <si>
    <t>Júlio Cézar de Almeida</t>
  </si>
  <si>
    <t>Application of the Method of Characteristics in the Analysis of Transient Events in Natural Gas Distribution Networks</t>
  </si>
  <si>
    <t>Julio Cézar de Almeida, Glaúcio Antonio Weigert, Saul Silva</t>
  </si>
  <si>
    <r>
      <rPr>
        <rFont val="Calibri"/>
        <color theme="1"/>
        <sz val="11.0"/>
      </rPr>
      <t>de Almeida, J. C., Weigert, G. A., &amp; da Silva, S. R. (2021). Application of the Method of Characteristics in the Analysis of Transient Events in Natural Gas Distribution Networks. </t>
    </r>
    <r>
      <rPr>
        <rFont val="Arial"/>
        <i/>
        <color rgb="FF222222"/>
        <sz val="10.0"/>
      </rPr>
      <t>International Journal of Advanced Engineering Research and Science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8</t>
    </r>
    <r>
      <rPr>
        <rFont val="Arial"/>
        <color rgb="FF222222"/>
        <sz val="10.0"/>
      </rPr>
      <t>, 10.</t>
    </r>
  </si>
  <si>
    <t>10.22161/ijaers.810.13</t>
  </si>
  <si>
    <t>Classification of hazardous areas - natural gas installations</t>
  </si>
  <si>
    <t>Julio Cézar de Almeida, Alexandre Pescador Sardá, Hermes Stefano Ferreira de Oliveira</t>
  </si>
  <si>
    <r>
      <rPr>
        <rFont val="Calibri"/>
        <color theme="1"/>
        <sz val="11.0"/>
      </rPr>
      <t xml:space="preserve">Almeida, Julio &amp; Sardá, Alexandre &amp; Oliveira, Hermes. (2022). Classification of hazardous areas - natural gas installations. </t>
    </r>
    <r>
      <rPr>
        <rFont val="Calibri"/>
        <i/>
        <color theme="1"/>
        <sz val="11.0"/>
      </rPr>
      <t>International Journal of Advanced Engineering Research and Science</t>
    </r>
    <r>
      <rPr>
        <rFont val="Calibri"/>
        <color theme="1"/>
        <sz val="11.0"/>
      </rPr>
      <t>. 9. 066-071.</t>
    </r>
  </si>
  <si>
    <t>10.22161/ijaers.93.10</t>
  </si>
  <si>
    <t>Volume of natural gas released into the atmosphere in leakage situations - review and analysis</t>
  </si>
  <si>
    <r>
      <rPr>
        <rFont val="Calibri"/>
        <color theme="1"/>
        <sz val="11.0"/>
      </rPr>
      <t xml:space="preserve">Almeida, Julio &amp; Sardá, Alexandre &amp; Oliveira, Hermes. (2022). Volume of natural gas released into the atmosphere in leakage situations - Review and analysis. </t>
    </r>
    <r>
      <rPr>
        <rFont val="Calibri"/>
        <i/>
        <color theme="1"/>
        <sz val="11.0"/>
      </rPr>
      <t>International Journal of Advanced Engineering Research and Science</t>
    </r>
    <r>
      <rPr>
        <rFont val="Calibri"/>
        <color theme="1"/>
        <sz val="11.0"/>
      </rPr>
      <t>. 9. 173-177.</t>
    </r>
  </si>
  <si>
    <t>10.22161/ijaers.911.22</t>
  </si>
  <si>
    <t>APLICAÇÃO DOS CONCEITOS DE CONFIABILIDADE NO PROJETO DE ESTAÇÕES DE MEDIÇÃO E REDUÇÃO DE PRESSÃO PARA GÁS NATURAL</t>
  </si>
  <si>
    <t>Julio Cézar de Almeida, Alexandre Pescador Sardá, Leonel Bueno da Rocha Neto</t>
  </si>
  <si>
    <r>
      <rPr>
        <rFont val="Calibri"/>
        <color theme="1"/>
        <sz val="11.0"/>
      </rPr>
      <t>de Almeida, J. C., Sardá, A. P., &amp; da Rocha Neto, L. B. (2023). APLICAÇÃO DOS CONCEITOS DE CONFIABILIDADE NO PROJETO DE ESTAÇÕES DE MEDIÇÃO E REDUÇÃO DE PRESSÃO PARA GÁS NATURAL. </t>
    </r>
    <r>
      <rPr>
        <rFont val="Arial"/>
        <i/>
        <color rgb="FF222222"/>
        <sz val="10.0"/>
      </rPr>
      <t>Revista Contemporânea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3</t>
    </r>
    <r>
      <rPr>
        <rFont val="Arial"/>
        <color rgb="FF222222"/>
        <sz val="10.0"/>
      </rPr>
      <t>(8), 11736-11751.</t>
    </r>
  </si>
  <si>
    <t>10.56083/RCV3N8-100</t>
  </si>
  <si>
    <t>The Cauchy Stress Tensor - Calculation Parameters Via Matlab - A Review</t>
  </si>
  <si>
    <t>Julio Cézar de Almeida, Leomar Gomes Júnior</t>
  </si>
  <si>
    <r>
      <rPr>
        <rFont val="Calibri"/>
        <color theme="1"/>
        <sz val="11.0"/>
      </rPr>
      <t xml:space="preserve">ALMEIDA, J. C.; GOMES JUNIOR, L. . The Cauchy Stress Tensor - Calculation Parameters Via Matlab -A Review. </t>
    </r>
    <r>
      <rPr>
        <rFont val="Calibri"/>
        <i/>
        <color theme="1"/>
        <sz val="11.0"/>
      </rPr>
      <t>INTERNATIONAL JOURNAL OF ENGINEERING RESEARCH AND DEVELOPMENT</t>
    </r>
    <r>
      <rPr>
        <rFont val="Calibri"/>
        <color theme="1"/>
        <sz val="11.0"/>
      </rPr>
      <t>, v. 20, p. 11-18, 2024.</t>
    </r>
  </si>
  <si>
    <t>Natural Gas Flow Through Pipelines ? A Review</t>
  </si>
  <si>
    <t>Julio Cézar de Almeida, Flávio Fernandes Cesar Lima, Alexandre Pescador Sardá</t>
  </si>
  <si>
    <r>
      <rPr>
        <rFont val="Calibri"/>
        <color theme="1"/>
        <sz val="11.0"/>
      </rPr>
      <t xml:space="preserve">ALMEIDA, J. C.; SARDA, A. P. ; LIMA, F. F. C. . Natural Gas Flow Through Pipelines - A Review. </t>
    </r>
    <r>
      <rPr>
        <rFont val="Calibri"/>
        <i/>
        <color theme="1"/>
        <sz val="11.0"/>
      </rPr>
      <t>INTERNATIONAL JOURNAL OF ENGINEERING RESEARCH AND DEVELOPMENT</t>
    </r>
    <r>
      <rPr>
        <rFont val="Calibri"/>
        <color theme="1"/>
        <sz val="11.0"/>
      </rPr>
      <t>, v. 20, p. 271-275, 2024.</t>
    </r>
  </si>
  <si>
    <t>Coupling the BEM and analytical solutions for the numerical simulation of transient heat conduction in a heterogeneous solid medium</t>
  </si>
  <si>
    <r>
      <rPr>
        <rFont val="Calibri"/>
        <color theme="1"/>
        <sz val="11.0"/>
      </rPr>
      <t>Cibele Cornejo</t>
    </r>
    <r>
      <rPr>
        <rFont val="Calibri"/>
        <color theme="1"/>
        <sz val="11.0"/>
      </rPr>
      <t> Jacinto</t>
    </r>
    <r>
      <rPr>
        <rFont val="Arial"/>
        <color rgb="FF1F1F1F"/>
        <sz val="12.0"/>
      </rPr>
      <t>, </t>
    </r>
    <r>
      <rPr>
        <rFont val="Calibri"/>
        <color theme="1"/>
        <sz val="11.0"/>
      </rPr>
      <t>Luiz Alkimin</t>
    </r>
    <r>
      <rPr>
        <rFont val="Calibri"/>
        <color theme="1"/>
        <sz val="11.0"/>
      </rPr>
      <t> de Lacerda</t>
    </r>
    <r>
      <rPr>
        <rFont val="Arial"/>
        <color rgb="FF1F1F1F"/>
        <sz val="12.0"/>
      </rPr>
      <t>, </t>
    </r>
    <r>
      <rPr>
        <rFont val="Calibri"/>
        <color theme="1"/>
        <sz val="11.0"/>
      </rPr>
      <t>António</t>
    </r>
    <r>
      <rPr>
        <rFont val="Calibri"/>
        <color theme="1"/>
        <sz val="11.0"/>
      </rPr>
      <t> Tadeu</t>
    </r>
  </si>
  <si>
    <r>
      <rPr>
        <rFont val="Calibri"/>
        <color theme="1"/>
        <sz val="11.0"/>
      </rPr>
      <t>Jacinto, C. C., de Lacerda, L. A., &amp; Tadeu, A. (2021). Coupling the BEM and analytical solutions for the numerical simulation of transient heat conduction in a heterogeneous solid medium. </t>
    </r>
    <r>
      <rPr>
        <rFont val="Arial"/>
        <i/>
        <color rgb="FF222222"/>
        <sz val="10.0"/>
      </rPr>
      <t>Engineering Analysis with Boundary Elements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124</t>
    </r>
    <r>
      <rPr>
        <rFont val="Arial"/>
        <color rgb="FF222222"/>
        <sz val="10.0"/>
      </rPr>
      <t>, 110-123.</t>
    </r>
  </si>
  <si>
    <t>10.1016/j.enganabound.2020.12.005</t>
  </si>
  <si>
    <t>Luiz Alkimin de Lacerda</t>
  </si>
  <si>
    <t>A new approach for solving heat conduction under zero and non-zero initial conditions</t>
  </si>
  <si>
    <r>
      <rPr>
        <rFont val="Calibri"/>
        <color theme="1"/>
        <sz val="11.0"/>
      </rPr>
      <t>Cibele Cornejo</t>
    </r>
    <r>
      <rPr>
        <rFont val="Calibri"/>
        <color theme="1"/>
        <sz val="11.0"/>
      </rPr>
      <t> Jacinto</t>
    </r>
    <r>
      <rPr>
        <rFont val="Arial"/>
        <color rgb="FF1F1F1F"/>
        <sz val="12.0"/>
      </rPr>
      <t>, </t>
    </r>
    <r>
      <rPr>
        <rFont val="Calibri"/>
        <color theme="1"/>
        <sz val="11.0"/>
      </rPr>
      <t>Luiz Alkimin</t>
    </r>
    <r>
      <rPr>
        <rFont val="Calibri"/>
        <color theme="1"/>
        <sz val="11.0"/>
      </rPr>
      <t> de Lacerda</t>
    </r>
    <r>
      <rPr>
        <rFont val="Arial"/>
        <color rgb="FF1F1F1F"/>
        <sz val="12.0"/>
      </rPr>
      <t>, </t>
    </r>
    <r>
      <rPr>
        <rFont val="Calibri"/>
        <color theme="1"/>
        <sz val="11.0"/>
      </rPr>
      <t>António</t>
    </r>
    <r>
      <rPr>
        <rFont val="Calibri"/>
        <color theme="1"/>
        <sz val="11.0"/>
      </rPr>
      <t> Tadeu</t>
    </r>
  </si>
  <si>
    <r>
      <rPr>
        <rFont val="Calibri"/>
        <color theme="1"/>
        <sz val="11.0"/>
      </rPr>
      <t>Jacinto, C. C., Tadeu, A., &amp; de Lacerda, L. A. (2022). A new approach for solving heat conduction under zero and non-zero initial conditions. </t>
    </r>
    <r>
      <rPr>
        <rFont val="Arial"/>
        <i/>
        <color rgb="FF222222"/>
        <sz val="10.0"/>
      </rPr>
      <t>Engineering Analysis with Boundary Elements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144</t>
    </r>
    <r>
      <rPr>
        <rFont val="Arial"/>
        <color rgb="FF222222"/>
        <sz val="10.0"/>
      </rPr>
      <t>, 185-198.</t>
    </r>
  </si>
  <si>
    <t>10.1016/j.enganabound.2022.08.015</t>
  </si>
  <si>
    <t>Modelling of cathodic protection developed to different underwater structures configurations</t>
  </si>
  <si>
    <t>Priscilla Mengarda, Heloisa Nunes Da Motta, Luiz Alkimin De Lacerda, Marcos Arndt</t>
  </si>
  <si>
    <t xml:space="preserve">Mengarda, Priscilla &amp; Motta, Heloisa &amp; Lacerda, Luiz &amp; Arndt, Marcos &amp; Silva, Luan &amp; Lacerda, Igor &amp; Barros, Leonardo &amp; Orlowski, Rene &amp; Pesqueira, Camila. (2022). Modelling of cathodic protection developed to different underwater structures configurations. Rio Oil and Gas Expo and Conference. 22. 67-68. 10.48072/2525-7579.rog.2022.067. </t>
  </si>
  <si>
    <t>10.48072/2525-7579.rog.2022.067</t>
  </si>
  <si>
    <t>Luiz Alkimin de Lacerda
Marcos Arndt</t>
  </si>
  <si>
    <t>Numerical analysis of insulated and conventional cross arms for transmission line tower</t>
  </si>
  <si>
    <t>Leonardo Wendler Felchak, João Maurício Fernandes, J. M. F. Mendonça, Alexandre Tachibana dos Santos, Amanda Jarek, Márcio Tonetti, Luiz Alkimin de Lacerda, Renato Penteado</t>
  </si>
  <si>
    <r>
      <rPr>
        <rFont val="Calibri"/>
        <color theme="1"/>
        <sz val="11.0"/>
      </rPr>
      <t>Felchak, L. W., Fernandes, J. M., Mendonça, J. M. F., Dos Santos, A. T., Jarek, A., Tonetti, M., ... &amp; Penteado, R. (2023). Numerical analysis of insulated and conventional cross arms for transmission line tower. </t>
    </r>
    <r>
      <rPr>
        <rFont val="Arial"/>
        <i/>
        <color rgb="FF222222"/>
        <sz val="10.0"/>
      </rPr>
      <t>Engineering Structures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294</t>
    </r>
    <r>
      <rPr>
        <rFont val="Arial"/>
        <color rgb="FF222222"/>
        <sz val="10.0"/>
      </rPr>
      <t>, 116710.</t>
    </r>
  </si>
  <si>
    <t>10.1016/j.engstruct.2023.116710</t>
  </si>
  <si>
    <t>Free in-plane vibration analysis of curved beams by the generalized/extended finite element method</t>
  </si>
  <si>
    <r>
      <rPr>
        <rFont val="Calibri"/>
        <color theme="1"/>
        <sz val="11.0"/>
      </rPr>
      <t>Ramon Macedo</t>
    </r>
    <r>
      <rPr>
        <rFont val="Calibri"/>
        <color theme="1"/>
        <sz val="11.0"/>
      </rPr>
      <t> Corrêa</t>
    </r>
    <r>
      <rPr>
        <rFont val="Arial"/>
        <color rgb="FF1F1F1F"/>
        <sz val="12.0"/>
      </rPr>
      <t>, </t>
    </r>
    <r>
      <rPr>
        <rFont val="Calibri"/>
        <color theme="1"/>
        <sz val="11.0"/>
      </rPr>
      <t>Marcos</t>
    </r>
    <r>
      <rPr>
        <rFont val="Calibri"/>
        <color theme="1"/>
        <sz val="11.0"/>
      </rPr>
      <t> Arndt</t>
    </r>
    <r>
      <rPr>
        <rFont val="Arial"/>
        <color rgb="FF1F1F1F"/>
        <sz val="12.0"/>
      </rPr>
      <t>, </t>
    </r>
    <r>
      <rPr>
        <rFont val="Calibri"/>
        <color theme="1"/>
        <sz val="11.0"/>
      </rPr>
      <t>Roberto Dalledone</t>
    </r>
    <r>
      <rPr>
        <rFont val="Calibri"/>
        <color theme="1"/>
        <sz val="11.0"/>
      </rPr>
      <t> Machado</t>
    </r>
  </si>
  <si>
    <r>
      <rPr>
        <rFont val="Calibri"/>
        <color theme="1"/>
        <sz val="11.0"/>
      </rPr>
      <t>Corrêa, R. M., Arndt, M., &amp; Machado, R. D. (2021). Free in-plane vibration analysis of curved beams by the generalized/extended finite element method. </t>
    </r>
    <r>
      <rPr>
        <rFont val="Arial"/>
        <i/>
        <color rgb="FF222222"/>
        <sz val="10.0"/>
      </rPr>
      <t>European Journal of Mechanics-A/Solids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88</t>
    </r>
    <r>
      <rPr>
        <rFont val="Arial"/>
        <color rgb="FF222222"/>
        <sz val="10.0"/>
      </rPr>
      <t>, 104244.</t>
    </r>
  </si>
  <si>
    <t>10.1016/j.euromechsol.2021.104244</t>
  </si>
  <si>
    <t>Marcos Arndt
Roberto Dalledone Machado</t>
  </si>
  <si>
    <t>Selective enrichment and modal matrix reduction in the generalized / eXtended Finite Element Method applied to dynamic analysis of plane state problems</t>
  </si>
  <si>
    <t>Carolina Castro Cittadin, Ramon Macedo Corrêa, Marcos Arndt, Roberto Dalledone Machado</t>
  </si>
  <si>
    <r>
      <rPr>
        <rFont val="Calibri"/>
        <color theme="1"/>
        <sz val="11.0"/>
      </rPr>
      <t>Cittadin, C. C., Corrêa, R. M., Arndt, M., &amp; Machado, R. D. (2022). Selective enrichment and modal matrix reduction in the generalized/eXtended Finite Element Method applied to dynamic analysis of plane state problems. </t>
    </r>
    <r>
      <rPr>
        <rFont val="Arial"/>
        <i/>
        <color rgb="FF222222"/>
        <sz val="10.0"/>
      </rPr>
      <t>European Journal of Mechanics-A/Solids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91</t>
    </r>
    <r>
      <rPr>
        <rFont val="Arial"/>
        <color rgb="FF222222"/>
        <sz val="10.0"/>
      </rPr>
      <t>, 104430.</t>
    </r>
  </si>
  <si>
    <t>10.1016/j.euromechsol.2021.104430</t>
  </si>
  <si>
    <t>Assessment of the flat-top stable GFEM for free vibration analysis</t>
  </si>
  <si>
    <r>
      <rPr>
        <rFont val="Calibri"/>
        <color theme="1"/>
        <sz val="11.0"/>
      </rPr>
      <t>Ivan</t>
    </r>
    <r>
      <rPr>
        <rFont val="Calibri"/>
        <color theme="1"/>
        <sz val="11.0"/>
      </rPr>
      <t> Assing da Silva</t>
    </r>
    <r>
      <rPr>
        <rFont val="Arial"/>
        <color rgb="FF1F1F1F"/>
        <sz val="12.0"/>
      </rPr>
      <t xml:space="preserve">, </t>
    </r>
    <r>
      <rPr>
        <rFont val="Calibri"/>
        <color theme="1"/>
        <sz val="11.0"/>
      </rPr>
      <t>Roberto Dalledone Machado, Marcos Arndt</t>
    </r>
    <r>
      <rPr>
        <rFont val="Arial"/>
        <color rgb="FF1F1F1F"/>
        <sz val="12.0"/>
      </rPr>
      <t xml:space="preserve">, </t>
    </r>
    <r>
      <rPr>
        <rFont val="Calibri"/>
        <color theme="1"/>
        <sz val="11.0"/>
      </rPr>
      <t>Paulo de Oliveira Weinhardt</t>
    </r>
  </si>
  <si>
    <r>
      <rPr>
        <rFont val="Calibri"/>
        <color theme="1"/>
        <sz val="11.0"/>
      </rPr>
      <t>da Silva, I. A., Machado, R. D., Arndt, M., &amp; de Oliveira Weinhardt, P. (2022). Assessment of the flat-top stable GFEM for free vibration analysis. </t>
    </r>
    <r>
      <rPr>
        <rFont val="Arial"/>
        <i/>
        <color rgb="FF222222"/>
        <sz val="10.0"/>
      </rPr>
      <t>Computers &amp; Mathematics with Applications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117</t>
    </r>
    <r>
      <rPr>
        <rFont val="Arial"/>
        <color rgb="FF222222"/>
        <sz val="10.0"/>
      </rPr>
      <t>, 271-283.</t>
    </r>
  </si>
  <si>
    <t>10.1016/j.camwa.2022.04.012</t>
  </si>
  <si>
    <t>A new approach for the Modified Local Green's Function Method applied to solid mechanics problems</t>
  </si>
  <si>
    <r>
      <rPr>
        <rFont val="Calibri"/>
        <color theme="1"/>
        <sz val="11.0"/>
      </rPr>
      <t>Ramon Macedo</t>
    </r>
    <r>
      <rPr>
        <rFont val="Calibri"/>
        <color theme="1"/>
        <sz val="11.0"/>
      </rPr>
      <t> Corrêa</t>
    </r>
    <r>
      <rPr>
        <rFont val="Arial"/>
        <color rgb="FF1F1F1F"/>
        <sz val="12.0"/>
      </rPr>
      <t>, </t>
    </r>
    <r>
      <rPr>
        <rFont val="Calibri"/>
        <color theme="1"/>
        <sz val="11.0"/>
      </rPr>
      <t>Marcos Arndt</t>
    </r>
    <r>
      <rPr>
        <rFont val="Arial"/>
        <color rgb="FF1F1F1F"/>
        <sz val="12.0"/>
      </rPr>
      <t>, </t>
    </r>
    <r>
      <rPr>
        <rFont val="Calibri"/>
        <color theme="1"/>
        <sz val="11.0"/>
      </rPr>
      <t>Roberto Dalledone Machado</t>
    </r>
  </si>
  <si>
    <r>
      <rPr>
        <rFont val="Calibri"/>
        <color theme="1"/>
        <sz val="11.0"/>
      </rPr>
      <t>Corrêa, R. M., Arndt, M., &amp; Machado, R. D. (2023). A new approach for the Modified Local Green’s Function Method applied to solid mechanics problems. </t>
    </r>
    <r>
      <rPr>
        <rFont val="Arial"/>
        <i/>
        <color rgb="FF222222"/>
        <sz val="10.0"/>
      </rPr>
      <t>Engineering Analysis with Boundary Elements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155</t>
    </r>
    <r>
      <rPr>
        <rFont val="Arial"/>
        <color rgb="FF222222"/>
        <sz val="10.0"/>
      </rPr>
      <t>, 907-919.</t>
    </r>
  </si>
  <si>
    <t>10.1016/j.enganabound.2023.07.009</t>
  </si>
  <si>
    <t>Dynamic analysis of a highway bridge beam under the passage of compound heavy trucks with multiple trailers</t>
  </si>
  <si>
    <t>Diego Gabriel Metz, Roberto Dalledone Machado, Marcos Arndt, Carlos Eduardo Rossigali</t>
  </si>
  <si>
    <r>
      <rPr>
        <rFont val="Calibri"/>
        <color theme="1"/>
        <sz val="11.0"/>
      </rPr>
      <t>Metz, D. G., Machado, R. D., Arndt, M., &amp; Rossigali, C. E. (2023). Dynamic analysis of a highway bridge beam under the passage of compound heavy trucks with multiple trailers. </t>
    </r>
    <r>
      <rPr>
        <rFont val="Arial"/>
        <i/>
        <color rgb="FF222222"/>
        <sz val="10.0"/>
      </rPr>
      <t>Engineering Computations</t>
    </r>
    <r>
      <rPr>
        <rFont val="Arial"/>
        <color rgb="FF222222"/>
        <sz val="10.0"/>
      </rPr>
      <t>, (ahead-of-print).</t>
    </r>
  </si>
  <si>
    <t>10.1108/EC-10-2022-0641</t>
  </si>
  <si>
    <t>A method for the experimental estimation of direct and cross-coupled dynamic coefficients of tilting-pad journal bearings of vertical hydro-generators</t>
  </si>
  <si>
    <t>Geraldo Carvalho Brito Júnior, Roberto Dalledone Machado, Anselmo Chaves Neto, Leonardo Yuta Kimura</t>
  </si>
  <si>
    <r>
      <rPr>
        <rFont val="Calibri"/>
        <color theme="1"/>
        <sz val="11.0"/>
      </rPr>
      <t>Brito Jr, G. C., Machado, R. D., Neto, A. C., &amp; Kimura, L. Y. (2022). A method for the experimental estimation of direct and cross-coupled dynamic coefficients of tilting-pad journal bearings of vertical hydro-generators. </t>
    </r>
    <r>
      <rPr>
        <rFont val="Arial"/>
        <i/>
        <color rgb="FF222222"/>
        <sz val="10.0"/>
      </rPr>
      <t>Structural Health Monitoring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21</t>
    </r>
    <r>
      <rPr>
        <rFont val="Arial"/>
        <color rgb="FF222222"/>
        <sz val="10.0"/>
      </rPr>
      <t>(3), 1218-1234.</t>
    </r>
  </si>
  <si>
    <t>10.1177/14759217211026593</t>
  </si>
  <si>
    <t>Roberto Dalledone Machado</t>
  </si>
  <si>
    <t>Experimental and Numerical Study of a Geodesic Dome Under Static and Dynamic Loads and the Influence of Nodal Connections</t>
  </si>
  <si>
    <t>Diogo Rossot, Roberto Dalledone Machado, Nilson Barbieri, Key Fonseca de Lima</t>
  </si>
  <si>
    <r>
      <rPr>
        <rFont val="Calibri"/>
        <color theme="1"/>
        <sz val="11.0"/>
      </rPr>
      <t>Rossot, D., Machado, R. D., Barbieri, N., &amp; de Lima, K. F. (2022). Experimental and numerical study of a geodesic dome under static and dynamic loads and the influence of nodal connections. </t>
    </r>
    <r>
      <rPr>
        <rFont val="Arial"/>
        <i/>
        <color rgb="FF222222"/>
        <sz val="10.0"/>
      </rPr>
      <t>Experimental Techniques</t>
    </r>
    <r>
      <rPr>
        <rFont val="Arial"/>
        <color rgb="FF222222"/>
        <sz val="10.0"/>
      </rPr>
      <t>, 1-12.</t>
    </r>
  </si>
  <si>
    <t>10.1007/s40799-021-00509-6</t>
  </si>
  <si>
    <t>Experimental investigation of dynamic characteristics of material applied to reduced scale physical models in the elastic state</t>
  </si>
  <si>
    <t>Jennifer Desiree Medeiros Cavalheiro, Roberto Dalledone Machado, Marlon Wesley Machado Cunico</t>
  </si>
  <si>
    <r>
      <rPr>
        <rFont val="Calibri"/>
        <color theme="1"/>
        <sz val="11.0"/>
      </rPr>
      <t>Cavalheiro, J. D., Machado, R. D., &amp; Cunico, M. W. (2022). Experimental investigation of dynamic characteristics of material applied to reduced scale physical models in the elastic state. </t>
    </r>
    <r>
      <rPr>
        <rFont val="Arial"/>
        <i/>
        <color rgb="FF222222"/>
        <sz val="10.0"/>
      </rPr>
      <t>Journal of Low Frequency Noise, Vibration and Active Control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41</t>
    </r>
    <r>
      <rPr>
        <rFont val="Arial"/>
        <color rgb="FF222222"/>
        <sz val="10.0"/>
      </rPr>
      <t>(3), 821-832.</t>
    </r>
  </si>
  <si>
    <t>10.1590/S1983-41952023000500002</t>
  </si>
  <si>
    <t>Damage and plasticity evolution of reinforced concrete beams using laminated Euler-Bernoulli finite elements</t>
  </si>
  <si>
    <t>Ana Paula Imai, Thiago de Oliveira Abeche, Roberto Dalledone Machado</t>
  </si>
  <si>
    <r>
      <rPr>
        <rFont val="Calibri"/>
        <color theme="1"/>
        <sz val="11.0"/>
      </rPr>
      <t>Imai, A. P., de Oliveira Abeche, T., &amp; Machado, R. D. (2023). Damage and plasticity evolution of reinforced concrete beams using laminated Euler-Bernoulli finite elements. </t>
    </r>
    <r>
      <rPr>
        <rFont val="Arial"/>
        <i/>
        <color rgb="FF222222"/>
        <sz val="10.0"/>
      </rPr>
      <t>Revista IBRACON de Estruturas e Materiais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16</t>
    </r>
    <r>
      <rPr>
        <rFont val="Arial"/>
        <color rgb="FF222222"/>
        <sz val="10.0"/>
      </rPr>
      <t>(5), e16502.</t>
    </r>
  </si>
  <si>
    <t>Regressão múltipla linear e não-linear para o cálculo de volumes de aterros e método iterativo para o reconhecimento de linhas de fluxo a partir de dados digitais de elevação e de terreno</t>
  </si>
  <si>
    <t>Roberto Pettres</t>
  </si>
  <si>
    <r>
      <rPr>
        <rFont val="Calibri"/>
        <color theme="1"/>
        <sz val="11.0"/>
      </rPr>
      <t>Pettres, R. (2021). Regressão múltipla linear e não-linear para o cálculo de volumes de aterros e método iterativo para o reconhecimento de linhas de fluxo a partir de dados digitais de elevação e de terreno. </t>
    </r>
    <r>
      <rPr>
        <rFont val="Arial"/>
        <i/>
        <color rgb="FF222222"/>
        <sz val="10.0"/>
      </rPr>
      <t>Revista de Engenharia Civil IMED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8</t>
    </r>
    <r>
      <rPr>
        <rFont val="Arial"/>
        <color rgb="FF222222"/>
        <sz val="10.0"/>
      </rPr>
      <t>(1), 90-108.</t>
    </r>
  </si>
  <si>
    <t>10.18256/2358-6508.2021.v8i1.3803</t>
  </si>
  <si>
    <t>A first dynamic population invasion study from reactive-telegraph equation and boundary element formulation</t>
  </si>
  <si>
    <r>
      <rPr>
        <rFont val="Calibri"/>
        <color theme="1"/>
        <sz val="11.0"/>
      </rPr>
      <t>Pettres, R. (2021). A first dynamic population invasion study from reactive-telegraph equation and boundary element formulation. </t>
    </r>
    <r>
      <rPr>
        <rFont val="Arial"/>
        <i/>
        <color rgb="FF222222"/>
        <sz val="10.0"/>
      </rPr>
      <t>Engineering Analysis with Boundary Elements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122</t>
    </r>
    <r>
      <rPr>
        <rFont val="Arial"/>
        <color rgb="FF222222"/>
        <sz val="10.0"/>
      </rPr>
      <t>, 214-231.</t>
    </r>
  </si>
  <si>
    <t>10.1016/j.enganabound.2020.11.002</t>
  </si>
  <si>
    <t>A second dynamic population invasion study from reactive telegraph equation and boundary element formulation ? a numerical assay about tumour growth in vitro</t>
  </si>
  <si>
    <t>Pettres, Andréia Assmann, Cirilo, Eliandro Rodrigues</t>
  </si>
  <si>
    <r>
      <rPr>
        <rFont val="Calibri"/>
        <color theme="1"/>
        <sz val="11.0"/>
      </rPr>
      <t>Pettres, R., Pettres, A. A., &amp; Cirilo, E. R. (2022). A second dynamic population invasion study from reactive telegraph equation and boundary element formulation–a numerical assay about tumour growth in vitro. </t>
    </r>
    <r>
      <rPr>
        <rFont val="Arial"/>
        <i/>
        <color rgb="FF222222"/>
        <sz val="10.0"/>
      </rPr>
      <t>Journal of Biotechnology and Biodiversity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10</t>
    </r>
    <r>
      <rPr>
        <rFont val="Arial"/>
        <color rgb="FF222222"/>
        <sz val="10.0"/>
      </rPr>
      <t>(2), 111-136.</t>
    </r>
  </si>
  <si>
    <t>A thermal analysis of concrete structures performed by layers using boundary element formulation and dual reciprocity</t>
  </si>
  <si>
    <t>Jonathas Rodrigues Salles de Oliveira, Roberto Pettres</t>
  </si>
  <si>
    <r>
      <rPr>
        <rFont val="Calibri"/>
        <color theme="1"/>
        <sz val="11.0"/>
      </rPr>
      <t>de Oliveira, J. R. S., &amp; Pettres, R. (2023). A thermal analysis of concrete structures performed by layers using boundary element formulation and dual reciprocity. </t>
    </r>
    <r>
      <rPr>
        <rFont val="Arial"/>
        <i/>
        <color rgb="FF222222"/>
        <sz val="10.0"/>
      </rPr>
      <t>Engineering Analysis with Boundary Elements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150</t>
    </r>
    <r>
      <rPr>
        <rFont val="Arial"/>
        <color rgb="FF222222"/>
        <sz val="10.0"/>
      </rPr>
      <t>, 542-554.</t>
    </r>
  </si>
  <si>
    <t>10.1016/j.enganabound.2023.02.023</t>
  </si>
  <si>
    <t>Digital reconstruction of a concrete pile from temperature data and boundary element formulation</t>
  </si>
  <si>
    <t>Rafael Petronilho de Oliveira Rocha, Roberto Pettres</t>
  </si>
  <si>
    <r>
      <rPr>
        <rFont val="Calibri"/>
        <color theme="1"/>
        <sz val="11.0"/>
      </rPr>
      <t>de Oliveira Rocha, R. P., &amp; Pettres, R. (2023). Digital reconstruction of a concrete pile from temperature data and boundary element formulation. </t>
    </r>
    <r>
      <rPr>
        <rFont val="Arial"/>
        <i/>
        <color rgb="FF222222"/>
        <sz val="10.0"/>
      </rPr>
      <t>Engineering Analysis with Boundary Elements</t>
    </r>
    <r>
      <rPr>
        <rFont val="Arial"/>
        <color rgb="FF222222"/>
        <sz val="10.0"/>
      </rPr>
      <t>, </t>
    </r>
    <r>
      <rPr>
        <rFont val="Arial"/>
        <i/>
        <color rgb="FF222222"/>
        <sz val="10.0"/>
      </rPr>
      <t>153</t>
    </r>
    <r>
      <rPr>
        <rFont val="Arial"/>
        <color rgb="FF222222"/>
        <sz val="10.0"/>
      </rPr>
      <t>, 267-294.</t>
    </r>
  </si>
  <si>
    <t>10.1016/j.enganabound.2023.05.031</t>
  </si>
  <si>
    <t>Análise de modelos de maturidade para medição da implementação do Building Information Modeling (BIM)</t>
  </si>
  <si>
    <t>Luciana de Oliveira Lima, Rodrigo Eduardo Catai, Sérgio Scheer</t>
  </si>
  <si>
    <r>
      <rPr>
        <rFont val="Calibri"/>
        <color theme="1"/>
        <sz val="11.0"/>
      </rPr>
      <t xml:space="preserve">de Oliveira Lima, L., Catai, R. E., &amp; Scheer, S. (2021). Análise de modelos de maturidade para medição da implementação do Building Information Modeling (BIM). </t>
    </r>
    <r>
      <rPr>
        <rFont val="Calibri"/>
        <i/>
        <color theme="1"/>
        <sz val="11.0"/>
      </rPr>
      <t>Gestão &amp; Tecnologia de Projetos</t>
    </r>
    <r>
      <rPr>
        <rFont val="Calibri"/>
        <color theme="1"/>
        <sz val="11.0"/>
      </rPr>
      <t>, 16(2), 133-147.</t>
    </r>
  </si>
  <si>
    <r>
      <rPr>
        <rFont val="Calibri"/>
        <color rgb="FF1155CC"/>
        <sz val="11.0"/>
        <u/>
      </rPr>
      <t>10.11606/gtp.v16i2.167253</t>
    </r>
  </si>
  <si>
    <t>Sérgio Scheer</t>
  </si>
  <si>
    <t>Construction site design planning using 4D BIM modeling</t>
  </si>
  <si>
    <t>Caroline Wilsek Caldart, Sérgio Scheer</t>
  </si>
  <si>
    <r>
      <rPr>
        <rFont val="Calibri"/>
        <color theme="1"/>
        <sz val="11.0"/>
      </rPr>
      <t xml:space="preserve">Caldart, C. W., &amp; Scheer, S. (2022). Construction site design planning using 4D BIM modeling. </t>
    </r>
    <r>
      <rPr>
        <rFont val="Calibri"/>
        <i/>
        <color theme="1"/>
        <sz val="11.0"/>
      </rPr>
      <t>Gestão &amp; Produção</t>
    </r>
    <r>
      <rPr>
        <rFont val="Calibri"/>
        <color theme="1"/>
        <sz val="11.0"/>
      </rPr>
      <t>, 29, e5312.</t>
    </r>
  </si>
  <si>
    <r>
      <rPr>
        <rFont val="Calibri"/>
        <color rgb="FF1155CC"/>
        <sz val="11.0"/>
        <u/>
      </rPr>
      <t>10.1590/1806-9649-2022v29e5312</t>
    </r>
  </si>
  <si>
    <t>Diretrizes para a tomada de decisão pelo proprietário em contratos de construção modular</t>
  </si>
  <si>
    <t>Bruno Soares de Carvalho, Sérgio Scheer</t>
  </si>
  <si>
    <r>
      <rPr>
        <rFont val="Calibri"/>
        <color theme="1"/>
        <sz val="11.0"/>
      </rPr>
      <t xml:space="preserve">de Carvalho, B. S., &amp; Scheer, S. (2022). Diretrizes para a tomada de decisão pelo proprietário em contratos de construção modular. </t>
    </r>
    <r>
      <rPr>
        <rFont val="Calibri"/>
        <i/>
        <color theme="1"/>
        <sz val="11.0"/>
      </rPr>
      <t>Gestão &amp; Tecnologia de Projetos</t>
    </r>
    <r>
      <rPr>
        <rFont val="Calibri"/>
        <color theme="1"/>
        <sz val="11.0"/>
      </rPr>
      <t>, 17(2), 93-112.</t>
    </r>
  </si>
  <si>
    <r>
      <rPr>
        <rFont val="Calibri"/>
        <color rgb="FF1155CC"/>
        <sz val="11.0"/>
        <u/>
      </rPr>
      <t>10.11606/gtp.v17i2.166055</t>
    </r>
  </si>
  <si>
    <t>The use of BIM in FM: Legal aspects in the context of the BIM BR strategy</t>
  </si>
  <si>
    <t>Marcos André Duque, Edilson Ferneda, Ana Paula Bernardi da Silva, Rosalvo Ermes Streit, Sérgio Scheer</t>
  </si>
  <si>
    <r>
      <rPr>
        <rFont val="Calibri"/>
        <color theme="1"/>
        <sz val="11.0"/>
      </rPr>
      <t xml:space="preserve">DUQUE, Marcos André; FERNEDA, Edilson; SILVA, Ana Paula Bernardi da; STREIT, Rosalvo Ermes; SCHEER, Sergio. The use of BIM in FM: Legal aspects in the context of the BIM BR strategy. </t>
    </r>
    <r>
      <rPr>
        <rFont val="Calibri"/>
        <i/>
        <color theme="1"/>
        <sz val="11.0"/>
      </rPr>
      <t>Revista Nacional de Gerenciamento de Cidades</t>
    </r>
    <r>
      <rPr>
        <rFont val="Calibri"/>
        <color theme="1"/>
        <sz val="11.0"/>
      </rPr>
      <t>, [S. l.], v. 11, n. 84, 2023.</t>
    </r>
  </si>
  <si>
    <r>
      <rPr>
        <rFont val="Calibri"/>
        <color rgb="FF1155CC"/>
        <sz val="11.0"/>
        <u/>
      </rPr>
      <t>10.17271/23188472118420233675</t>
    </r>
  </si>
  <si>
    <t>A manufatura aditiva como suporte à aprendizagem colaborativa e interdisciplinar em AEC: uma experiência integradora com o futuro profissional de expressão gráfica</t>
  </si>
  <si>
    <t>Márcio Henrique de Sousa Carboni, Sérgio Scheer</t>
  </si>
  <si>
    <r>
      <rPr>
        <rFont val="Calibri"/>
        <color theme="1"/>
        <sz val="11.0"/>
      </rPr>
      <t xml:space="preserve">de Sousa Carboni, M. H., &amp; Scheer, S. (2023). A manufatura aditiva como suporte à aprendizagem colaborativa e interdisciplinar em AEC: uma experiência integradora com o futuro profissional de expressão gráfica. </t>
    </r>
    <r>
      <rPr>
        <rFont val="Calibri"/>
        <i/>
        <color theme="1"/>
        <sz val="11.0"/>
      </rPr>
      <t>Gestão &amp; Tecnologia de Projetos</t>
    </r>
    <r>
      <rPr>
        <rFont val="Calibri"/>
        <color theme="1"/>
        <sz val="11.0"/>
      </rPr>
      <t>, 18(1), 195-218.</t>
    </r>
  </si>
  <si>
    <r>
      <rPr>
        <rFont val="Calibri"/>
        <color rgb="FF1155CC"/>
        <sz val="11.0"/>
        <u/>
      </rPr>
      <t>10.11606/gtp.v18i1.201918</t>
    </r>
  </si>
  <si>
    <t>BIM-FM como suporte à gestão de espaços de edificações públicas: uma aplicação de verificação automática de regras</t>
  </si>
  <si>
    <t>Alessandra Teixeira, Sérgio Scheer</t>
  </si>
  <si>
    <t>Teixeira, A., &amp; Scheer, S. (2024). BIM-FM como suporte à gestão de espaços de edificações públicas: uma aplicação de verificação automática de regras. Gestão &amp; Tecnologia de Projetos, 19(2), 79-104.</t>
  </si>
  <si>
    <r>
      <rPr>
        <rFont val="Calibri"/>
        <color rgb="FF1155CC"/>
        <sz val="11.0"/>
        <u/>
      </rPr>
      <t>10.11606/gtp.v19i2.202243</t>
    </r>
  </si>
  <si>
    <t>Uso do método educacional colaborativo para AEC apoiado por manufatura aditiva</t>
  </si>
  <si>
    <r>
      <rPr>
        <rFont val="Calibri"/>
        <color theme="1"/>
        <sz val="11.0"/>
      </rPr>
      <t xml:space="preserve">de Sousa Carboni, M. H., &amp; Scheer, S. (2024). Uso do método educacional colaborativo para AEC apoiado por manufatura aditiva. </t>
    </r>
    <r>
      <rPr>
        <rFont val="Calibri"/>
        <i/>
        <color theme="1"/>
        <sz val="11.0"/>
      </rPr>
      <t>PARC Pesquisa em Arquitetura e Construção</t>
    </r>
    <r>
      <rPr>
        <rFont val="Calibri"/>
        <color theme="1"/>
        <sz val="11.0"/>
      </rPr>
      <t>, 15, e024008-e024008.</t>
    </r>
  </si>
  <si>
    <r>
      <rPr>
        <rFont val="Calibri"/>
        <color rgb="FF1155CC"/>
        <sz val="11.0"/>
        <u/>
      </rPr>
      <t>10.20396/parc.v15i00.8673747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</si>
</sst>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rgb="FFED0000"/>
      <name val="Calibri"/>
    </font>
    <font>
      <sz val="11.0"/>
      <color rgb="FFED0000"/>
      <name val="Calibri"/>
    </font>
    <font>
      <sz val="20.0"/>
      <color theme="1"/>
      <name val="Calibri"/>
    </font>
    <font>
      <sz val="16.0"/>
      <color theme="1"/>
      <name val="Calibri"/>
    </font>
    <font/>
    <font>
      <u/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EEAF6"/>
        <bgColor rgb="FFDEEAF6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1" fillId="0" fontId="1" numFmtId="0" xfId="0" applyAlignment="1" applyBorder="1" applyFont="1">
      <alignment vertical="center"/>
    </xf>
    <xf borderId="0" fillId="0" fontId="2" numFmtId="0" xfId="0" applyAlignment="1" applyFont="1">
      <alignment horizontal="center" vertical="center"/>
    </xf>
    <xf borderId="1" fillId="2" fontId="1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horizontal="center" vertical="center"/>
    </xf>
    <xf borderId="0" fillId="0" fontId="3" numFmtId="0" xfId="0" applyAlignment="1" applyFont="1">
      <alignment horizontal="left" vertical="center"/>
    </xf>
    <xf borderId="1" fillId="0" fontId="1" numFmtId="9" xfId="0" applyAlignment="1" applyBorder="1" applyFont="1" applyNumberFormat="1">
      <alignment vertical="center"/>
    </xf>
    <xf borderId="1" fillId="0" fontId="1" numFmtId="14" xfId="0" applyAlignment="1" applyBorder="1" applyFont="1" applyNumberFormat="1">
      <alignment vertical="center"/>
    </xf>
    <xf borderId="0" fillId="0" fontId="4" numFmtId="0" xfId="0" applyAlignment="1" applyFont="1">
      <alignment vertical="center"/>
    </xf>
    <xf borderId="1" fillId="3" fontId="5" numFmtId="0" xfId="0" applyAlignment="1" applyBorder="1" applyFill="1" applyFont="1">
      <alignment vertical="center"/>
    </xf>
    <xf borderId="2" fillId="0" fontId="1" numFmtId="0" xfId="0" applyAlignment="1" applyBorder="1" applyFont="1">
      <alignment horizontal="center" vertical="center"/>
    </xf>
    <xf borderId="3" fillId="0" fontId="6" numFmtId="0" xfId="0" applyBorder="1" applyFont="1"/>
    <xf borderId="4" fillId="0" fontId="6" numFmtId="0" xfId="0" applyBorder="1" applyFont="1"/>
    <xf borderId="1" fillId="0" fontId="1" numFmtId="0" xfId="0" applyAlignment="1" applyBorder="1" applyFont="1">
      <alignment horizontal="center" shrinkToFit="0" vertical="center" wrapText="1"/>
    </xf>
    <xf borderId="1" fillId="4" fontId="1" numFmtId="0" xfId="0" applyAlignment="1" applyBorder="1" applyFill="1" applyFont="1">
      <alignment shrinkToFit="0" vertical="center" wrapText="1"/>
    </xf>
    <xf borderId="1" fillId="4" fontId="1" numFmtId="0" xfId="0" applyAlignment="1" applyBorder="1" applyFont="1">
      <alignment horizontal="center" shrinkToFit="0" vertical="center" wrapText="1"/>
    </xf>
    <xf borderId="1" fillId="4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readingOrder="0" shrinkToFit="0" vertical="center" wrapText="1"/>
    </xf>
    <xf borderId="1" fillId="4" fontId="7" numFmtId="0" xfId="0" applyAlignment="1" applyBorder="1" applyFont="1">
      <alignment shrinkToFit="0" vertical="center" wrapText="1"/>
    </xf>
    <xf borderId="1" fillId="4" fontId="1" numFmtId="0" xfId="0" applyAlignment="1" applyBorder="1" applyFont="1">
      <alignment horizontal="center" readingOrder="0" vertical="center"/>
    </xf>
    <xf borderId="1" fillId="4" fontId="1" numFmtId="0" xfId="0" applyAlignment="1" applyBorder="1" applyFont="1">
      <alignment horizontal="center" readingOrder="0" shrinkToFit="0" vertical="center" wrapText="1"/>
    </xf>
    <xf borderId="1" fillId="5" fontId="1" numFmtId="0" xfId="0" applyAlignment="1" applyBorder="1" applyFill="1" applyFont="1">
      <alignment shrinkToFit="0" vertical="center" wrapText="1"/>
    </xf>
    <xf borderId="1" fillId="5" fontId="1" numFmtId="0" xfId="0" applyAlignment="1" applyBorder="1" applyFont="1">
      <alignment horizontal="center" shrinkToFit="0" vertical="center" wrapText="1"/>
    </xf>
    <xf borderId="1" fillId="5" fontId="1" numFmtId="0" xfId="0" applyAlignment="1" applyBorder="1" applyFont="1">
      <alignment horizontal="center" vertical="center"/>
    </xf>
    <xf borderId="1" fillId="5" fontId="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researchgate.net/scientific-contributions/Marcos-Arndt-2231678987" TargetMode="External"/><Relationship Id="rId2" Type="http://schemas.openxmlformats.org/officeDocument/2006/relationships/hyperlink" Target="https://www.researchgate.net/scientific-contributions/Luiz-Alkimin-De-Lacerda-2231683404" TargetMode="External"/><Relationship Id="rId3" Type="http://schemas.openxmlformats.org/officeDocument/2006/relationships/hyperlink" Target="https://www.researchgate.net/scientific-contributions/Marcos-Arndt-2231678987" TargetMode="Externa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571500</xdr:colOff>
      <xdr:row>0</xdr:row>
      <xdr:rowOff>19050</xdr:rowOff>
    </xdr:from>
    <xdr:ext cx="6772275" cy="10915650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6791325" cy="10915650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21</xdr:row>
      <xdr:rowOff>0</xdr:rowOff>
    </xdr:from>
    <xdr:ext cx="304800" cy="304800"/>
    <xdr:sp>
      <xdr:nvSpPr>
        <xdr:cNvPr descr="Marcos Arndt" id="3" name="Shape 3">
          <a:hlinkClick r:id="rId1"/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34</xdr:row>
      <xdr:rowOff>0</xdr:rowOff>
    </xdr:from>
    <xdr:ext cx="314325" cy="314325"/>
    <xdr:sp>
      <xdr:nvSpPr>
        <xdr:cNvPr descr="Luiz Alkimin De Lacerda" id="4" name="Shape 4">
          <a:hlinkClick r:id="rId2"/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21</xdr:row>
      <xdr:rowOff>0</xdr:rowOff>
    </xdr:from>
    <xdr:ext cx="314325" cy="314325"/>
    <xdr:sp>
      <xdr:nvSpPr>
        <xdr:cNvPr descr="Marcos Arndt" id="5" name="Shape 5">
          <a:hlinkClick r:id="rId3"/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i.org/10.1590/1806-9649-2022v29e5312" TargetMode="External"/><Relationship Id="rId2" Type="http://schemas.openxmlformats.org/officeDocument/2006/relationships/hyperlink" Target="https://doi.org/10.11606/gtp.v17i2.166055" TargetMode="External"/><Relationship Id="rId3" Type="http://schemas.openxmlformats.org/officeDocument/2006/relationships/hyperlink" Target="https://doi.org/10.17271/23188472118420233675" TargetMode="External"/><Relationship Id="rId4" Type="http://schemas.openxmlformats.org/officeDocument/2006/relationships/hyperlink" Target="https://doi.org/10.11606/gtp.v18i1.201918" TargetMode="External"/><Relationship Id="rId5" Type="http://schemas.openxmlformats.org/officeDocument/2006/relationships/hyperlink" Target="https://doi.org/10.11606/gtp.v19i2.202243" TargetMode="External"/><Relationship Id="rId6" Type="http://schemas.openxmlformats.org/officeDocument/2006/relationships/hyperlink" Target="http://dx.doi.org/10.20396/parc.v15i00.8673747" TargetMode="External"/><Relationship Id="rId7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0000001" footer="0.0" header="0.0" left="0.511811024" right="0.511811024" top="0.7874015750000001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1.14"/>
    <col customWidth="1" min="2" max="2" width="54.14"/>
    <col customWidth="1" min="3" max="3" width="8.71"/>
    <col customWidth="1" min="4" max="4" width="17.29"/>
    <col customWidth="1" min="5" max="5" width="75.29"/>
    <col customWidth="1" min="6" max="6" width="46.71"/>
    <col customWidth="1" min="7" max="7" width="32.86"/>
    <col customWidth="1" min="8" max="17" width="9.14"/>
    <col customWidth="1" min="18" max="26" width="8.71"/>
  </cols>
  <sheetData>
    <row r="1">
      <c r="A1" s="1" t="s">
        <v>0</v>
      </c>
      <c r="B1" s="1" t="s">
        <v>1</v>
      </c>
      <c r="C1" s="2"/>
      <c r="D1" s="1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3</v>
      </c>
      <c r="B2" s="1" t="s">
        <v>4</v>
      </c>
      <c r="C2" s="2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3" t="s">
        <v>5</v>
      </c>
      <c r="B3" s="3"/>
      <c r="C3" s="2"/>
      <c r="D3" s="4"/>
      <c r="E3" s="1"/>
      <c r="F3" s="1"/>
      <c r="G3" s="5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6" t="s">
        <v>13</v>
      </c>
      <c r="O3" s="6" t="s">
        <v>14</v>
      </c>
      <c r="P3" s="6" t="s">
        <v>15</v>
      </c>
      <c r="Q3" s="6" t="s">
        <v>16</v>
      </c>
      <c r="R3" s="1"/>
      <c r="S3" s="1"/>
      <c r="T3" s="1"/>
      <c r="U3" s="1"/>
      <c r="V3" s="1"/>
      <c r="W3" s="1"/>
      <c r="X3" s="1"/>
      <c r="Y3" s="1"/>
      <c r="Z3" s="1"/>
    </row>
    <row r="4">
      <c r="A4" s="3" t="s">
        <v>17</v>
      </c>
      <c r="B4" s="3" t="s">
        <v>18</v>
      </c>
      <c r="C4" s="2"/>
      <c r="D4" s="7"/>
      <c r="E4" s="1"/>
      <c r="F4" s="1"/>
      <c r="G4" s="8">
        <v>0.5</v>
      </c>
      <c r="H4" s="6">
        <f t="shared" ref="H4:Q4" si="1">COUNT(H11:H80)</f>
        <v>13</v>
      </c>
      <c r="I4" s="6">
        <f t="shared" si="1"/>
        <v>8</v>
      </c>
      <c r="J4" s="6">
        <f t="shared" si="1"/>
        <v>4</v>
      </c>
      <c r="K4" s="6">
        <f t="shared" si="1"/>
        <v>6</v>
      </c>
      <c r="L4" s="6">
        <f t="shared" si="1"/>
        <v>1</v>
      </c>
      <c r="M4" s="6">
        <f t="shared" si="1"/>
        <v>0</v>
      </c>
      <c r="N4" s="6">
        <f t="shared" si="1"/>
        <v>0</v>
      </c>
      <c r="O4" s="6">
        <f t="shared" si="1"/>
        <v>2</v>
      </c>
      <c r="P4" s="6">
        <f t="shared" si="1"/>
        <v>4</v>
      </c>
      <c r="Q4" s="6">
        <f t="shared" si="1"/>
        <v>5</v>
      </c>
      <c r="R4" s="1"/>
      <c r="S4" s="1"/>
      <c r="T4" s="1"/>
      <c r="U4" s="1"/>
      <c r="V4" s="1"/>
      <c r="W4" s="1"/>
      <c r="X4" s="1"/>
      <c r="Y4" s="1"/>
      <c r="Z4" s="1"/>
    </row>
    <row r="5">
      <c r="A5" s="3" t="s">
        <v>19</v>
      </c>
      <c r="B5" s="9">
        <v>45621.0</v>
      </c>
      <c r="C5" s="2"/>
      <c r="D5" s="7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3" t="s">
        <v>20</v>
      </c>
      <c r="B6" s="3"/>
      <c r="C6" s="2"/>
      <c r="D6" s="7"/>
      <c r="E6" s="1"/>
      <c r="F6" s="1"/>
      <c r="G6" s="10"/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3" t="s">
        <v>5</v>
      </c>
      <c r="B7" s="3"/>
      <c r="C7" s="2"/>
      <c r="D7" s="2"/>
      <c r="E7" s="1"/>
      <c r="F7" s="1"/>
      <c r="G7" s="11" t="s">
        <v>21</v>
      </c>
      <c r="H7" s="11">
        <f>SUM(H11:Q47)/30</f>
        <v>1.233333333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5</v>
      </c>
      <c r="B8" s="1"/>
      <c r="C8" s="2"/>
      <c r="D8" s="2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5</v>
      </c>
      <c r="B9" s="1"/>
      <c r="C9" s="2"/>
      <c r="D9" s="2"/>
      <c r="E9" s="1"/>
      <c r="F9" s="1"/>
      <c r="G9" s="1"/>
      <c r="H9" s="12" t="s">
        <v>22</v>
      </c>
      <c r="I9" s="13"/>
      <c r="J9" s="13"/>
      <c r="K9" s="13"/>
      <c r="L9" s="1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3" t="s">
        <v>23</v>
      </c>
      <c r="B10" s="3" t="s">
        <v>24</v>
      </c>
      <c r="C10" s="6" t="s">
        <v>25</v>
      </c>
      <c r="D10" s="15" t="s">
        <v>26</v>
      </c>
      <c r="E10" s="3" t="s">
        <v>27</v>
      </c>
      <c r="F10" s="3" t="s">
        <v>28</v>
      </c>
      <c r="G10" s="6" t="s">
        <v>29</v>
      </c>
      <c r="H10" s="6" t="s">
        <v>7</v>
      </c>
      <c r="I10" s="6" t="s">
        <v>8</v>
      </c>
      <c r="J10" s="6" t="s">
        <v>9</v>
      </c>
      <c r="K10" s="6" t="s">
        <v>10</v>
      </c>
      <c r="L10" s="6" t="s">
        <v>11</v>
      </c>
      <c r="M10" s="6" t="s">
        <v>12</v>
      </c>
      <c r="N10" s="6" t="s">
        <v>13</v>
      </c>
      <c r="O10" s="6" t="s">
        <v>14</v>
      </c>
      <c r="P10" s="6" t="s">
        <v>15</v>
      </c>
      <c r="Q10" s="6" t="s">
        <v>16</v>
      </c>
      <c r="R10" s="1"/>
      <c r="S10" s="1"/>
      <c r="T10" s="1"/>
      <c r="U10" s="1"/>
      <c r="V10" s="1"/>
      <c r="W10" s="1"/>
      <c r="X10" s="1"/>
      <c r="Y10" s="1"/>
      <c r="Z10" s="1"/>
    </row>
    <row r="11">
      <c r="A11" s="16" t="s">
        <v>30</v>
      </c>
      <c r="B11" s="16" t="s">
        <v>31</v>
      </c>
      <c r="C11" s="17">
        <v>2022.0</v>
      </c>
      <c r="D11" s="17"/>
      <c r="E11" s="16" t="s">
        <v>32</v>
      </c>
      <c r="F11" s="16" t="s">
        <v>33</v>
      </c>
      <c r="G11" s="17" t="s">
        <v>34</v>
      </c>
      <c r="H11" s="18">
        <v>1.0</v>
      </c>
      <c r="I11" s="18"/>
      <c r="J11" s="17"/>
      <c r="K11" s="18"/>
      <c r="L11" s="18"/>
      <c r="M11" s="18"/>
      <c r="N11" s="18"/>
      <c r="O11" s="18"/>
      <c r="P11" s="18"/>
      <c r="Q11" s="18"/>
      <c r="R11" s="1"/>
      <c r="S11" s="1"/>
      <c r="T11" s="1"/>
      <c r="U11" s="1"/>
      <c r="V11" s="1"/>
      <c r="W11" s="1"/>
      <c r="X11" s="1"/>
      <c r="Y11" s="1"/>
      <c r="Z11" s="1"/>
    </row>
    <row r="12">
      <c r="A12" s="16" t="s">
        <v>35</v>
      </c>
      <c r="B12" s="16" t="s">
        <v>36</v>
      </c>
      <c r="C12" s="17">
        <v>2022.0</v>
      </c>
      <c r="D12" s="17"/>
      <c r="E12" s="16" t="s">
        <v>37</v>
      </c>
      <c r="F12" s="16" t="s">
        <v>38</v>
      </c>
      <c r="G12" s="17" t="s">
        <v>34</v>
      </c>
      <c r="H12" s="18">
        <v>1.0</v>
      </c>
      <c r="I12" s="18"/>
      <c r="J12" s="17"/>
      <c r="K12" s="18"/>
      <c r="L12" s="18"/>
      <c r="M12" s="18"/>
      <c r="N12" s="18"/>
      <c r="O12" s="18"/>
      <c r="P12" s="18"/>
      <c r="Q12" s="18"/>
      <c r="R12" s="1"/>
      <c r="S12" s="1"/>
      <c r="T12" s="1"/>
      <c r="U12" s="1"/>
      <c r="V12" s="1"/>
      <c r="W12" s="1"/>
      <c r="X12" s="1"/>
      <c r="Y12" s="1"/>
      <c r="Z12" s="1"/>
    </row>
    <row r="13">
      <c r="A13" s="16" t="s">
        <v>39</v>
      </c>
      <c r="B13" s="16" t="s">
        <v>40</v>
      </c>
      <c r="C13" s="17">
        <v>2023.0</v>
      </c>
      <c r="D13" s="17"/>
      <c r="E13" s="16" t="s">
        <v>41</v>
      </c>
      <c r="F13" s="16" t="s">
        <v>42</v>
      </c>
      <c r="G13" s="17" t="s">
        <v>34</v>
      </c>
      <c r="H13" s="18"/>
      <c r="I13" s="18"/>
      <c r="J13" s="18"/>
      <c r="K13" s="18"/>
      <c r="L13" s="18"/>
      <c r="M13" s="18"/>
      <c r="N13" s="18"/>
      <c r="O13" s="18"/>
      <c r="P13" s="17"/>
      <c r="Q13" s="18">
        <v>1.0</v>
      </c>
      <c r="R13" s="1"/>
      <c r="S13" s="1"/>
      <c r="T13" s="1"/>
      <c r="U13" s="1"/>
      <c r="V13" s="1"/>
      <c r="W13" s="1"/>
      <c r="X13" s="1"/>
      <c r="Y13" s="1"/>
      <c r="Z13" s="1"/>
    </row>
    <row r="14">
      <c r="A14" s="16" t="s">
        <v>43</v>
      </c>
      <c r="B14" s="16" t="s">
        <v>44</v>
      </c>
      <c r="C14" s="17">
        <v>2023.0</v>
      </c>
      <c r="D14" s="17"/>
      <c r="E14" s="16" t="s">
        <v>45</v>
      </c>
      <c r="F14" s="16" t="s">
        <v>46</v>
      </c>
      <c r="G14" s="17" t="s">
        <v>34</v>
      </c>
      <c r="H14" s="18"/>
      <c r="I14" s="18"/>
      <c r="J14" s="18"/>
      <c r="K14" s="18"/>
      <c r="L14" s="18"/>
      <c r="M14" s="18"/>
      <c r="N14" s="17"/>
      <c r="O14" s="17"/>
      <c r="P14" s="18"/>
      <c r="Q14" s="18">
        <v>1.0</v>
      </c>
      <c r="R14" s="1"/>
      <c r="S14" s="1"/>
      <c r="T14" s="1"/>
      <c r="U14" s="1"/>
      <c r="V14" s="1"/>
      <c r="W14" s="1"/>
      <c r="X14" s="1"/>
      <c r="Y14" s="1"/>
      <c r="Z14" s="1"/>
    </row>
    <row r="15">
      <c r="A15" s="16" t="s">
        <v>47</v>
      </c>
      <c r="B15" s="16" t="s">
        <v>48</v>
      </c>
      <c r="C15" s="17">
        <v>2024.0</v>
      </c>
      <c r="D15" s="17"/>
      <c r="E15" s="16" t="s">
        <v>49</v>
      </c>
      <c r="F15" s="16" t="s">
        <v>50</v>
      </c>
      <c r="G15" s="17" t="s">
        <v>34</v>
      </c>
      <c r="H15" s="18"/>
      <c r="I15" s="18"/>
      <c r="J15" s="18"/>
      <c r="K15" s="18"/>
      <c r="L15" s="18"/>
      <c r="M15" s="18"/>
      <c r="N15" s="17"/>
      <c r="O15" s="17"/>
      <c r="P15" s="18"/>
      <c r="Q15" s="18">
        <v>1.0</v>
      </c>
      <c r="R15" s="1"/>
      <c r="S15" s="1"/>
      <c r="T15" s="1"/>
      <c r="U15" s="1"/>
      <c r="V15" s="1"/>
      <c r="W15" s="1"/>
      <c r="X15" s="1"/>
      <c r="Y15" s="1"/>
      <c r="Z15" s="1"/>
    </row>
    <row r="16">
      <c r="A16" s="16" t="s">
        <v>51</v>
      </c>
      <c r="B16" s="16" t="s">
        <v>52</v>
      </c>
      <c r="C16" s="17">
        <v>2024.0</v>
      </c>
      <c r="D16" s="17"/>
      <c r="E16" s="16" t="s">
        <v>53</v>
      </c>
      <c r="F16" s="16" t="s">
        <v>54</v>
      </c>
      <c r="G16" s="17" t="s">
        <v>34</v>
      </c>
      <c r="H16" s="17"/>
      <c r="I16" s="18">
        <v>1.0</v>
      </c>
      <c r="J16" s="18"/>
      <c r="K16" s="18"/>
      <c r="L16" s="18"/>
      <c r="M16" s="18"/>
      <c r="N16" s="18"/>
      <c r="O16" s="18"/>
      <c r="P16" s="18"/>
      <c r="Q16" s="18"/>
      <c r="R16" s="1"/>
      <c r="S16" s="1"/>
      <c r="T16" s="1"/>
      <c r="U16" s="1"/>
      <c r="V16" s="1"/>
      <c r="W16" s="1"/>
      <c r="X16" s="1"/>
      <c r="Y16" s="1"/>
      <c r="Z16" s="1"/>
    </row>
    <row r="17">
      <c r="A17" s="16" t="s">
        <v>55</v>
      </c>
      <c r="B17" s="16" t="s">
        <v>56</v>
      </c>
      <c r="C17" s="17">
        <v>2024.0</v>
      </c>
      <c r="D17" s="17"/>
      <c r="E17" s="16" t="s">
        <v>57</v>
      </c>
      <c r="F17" s="16" t="s">
        <v>58</v>
      </c>
      <c r="G17" s="17" t="s">
        <v>34</v>
      </c>
      <c r="H17" s="17"/>
      <c r="I17" s="18"/>
      <c r="J17" s="18"/>
      <c r="K17" s="18"/>
      <c r="L17" s="18"/>
      <c r="M17" s="18"/>
      <c r="N17" s="18"/>
      <c r="O17" s="18"/>
      <c r="P17" s="18"/>
      <c r="Q17" s="18">
        <v>1.0</v>
      </c>
      <c r="R17" s="1"/>
      <c r="S17" s="1"/>
      <c r="T17" s="1"/>
      <c r="U17" s="1"/>
      <c r="V17" s="1"/>
      <c r="W17" s="1"/>
      <c r="X17" s="1"/>
      <c r="Y17" s="1"/>
      <c r="Z17" s="1"/>
    </row>
    <row r="18">
      <c r="A18" s="16" t="s">
        <v>59</v>
      </c>
      <c r="B18" s="16" t="s">
        <v>60</v>
      </c>
      <c r="C18" s="17">
        <v>2024.0</v>
      </c>
      <c r="D18" s="17"/>
      <c r="E18" s="16" t="s">
        <v>61</v>
      </c>
      <c r="F18" s="16" t="s">
        <v>62</v>
      </c>
      <c r="G18" s="17" t="s">
        <v>34</v>
      </c>
      <c r="H18" s="18">
        <v>1.0</v>
      </c>
      <c r="I18" s="18"/>
      <c r="J18" s="17"/>
      <c r="K18" s="18"/>
      <c r="L18" s="18"/>
      <c r="M18" s="17"/>
      <c r="N18" s="18"/>
      <c r="O18" s="18"/>
      <c r="P18" s="18"/>
      <c r="Q18" s="18"/>
      <c r="R18" s="1"/>
      <c r="S18" s="1"/>
      <c r="T18" s="1"/>
      <c r="U18" s="1"/>
      <c r="V18" s="1"/>
      <c r="W18" s="1"/>
      <c r="X18" s="1"/>
      <c r="Y18" s="1"/>
      <c r="Z18" s="1"/>
    </row>
    <row r="19">
      <c r="A19" s="16" t="s">
        <v>63</v>
      </c>
      <c r="B19" s="16" t="s">
        <v>64</v>
      </c>
      <c r="C19" s="17">
        <v>2021.0</v>
      </c>
      <c r="D19" s="17"/>
      <c r="E19" s="16" t="s">
        <v>65</v>
      </c>
      <c r="F19" s="16" t="s">
        <v>66</v>
      </c>
      <c r="G19" s="17" t="s">
        <v>67</v>
      </c>
      <c r="H19" s="18">
        <v>1.0</v>
      </c>
      <c r="I19" s="18"/>
      <c r="J19" s="17"/>
      <c r="K19" s="18"/>
      <c r="L19" s="18"/>
      <c r="M19" s="17"/>
      <c r="N19" s="18"/>
      <c r="O19" s="18"/>
      <c r="P19" s="18"/>
      <c r="Q19" s="18"/>
      <c r="R19" s="1"/>
      <c r="S19" s="1"/>
      <c r="T19" s="1"/>
      <c r="U19" s="1"/>
      <c r="V19" s="1"/>
      <c r="W19" s="1"/>
      <c r="X19" s="1"/>
      <c r="Y19" s="1"/>
      <c r="Z19" s="1"/>
    </row>
    <row r="20">
      <c r="A20" s="16" t="s">
        <v>68</v>
      </c>
      <c r="B20" s="16" t="s">
        <v>64</v>
      </c>
      <c r="C20" s="17">
        <v>2022.0</v>
      </c>
      <c r="D20" s="17"/>
      <c r="E20" s="16" t="s">
        <v>69</v>
      </c>
      <c r="F20" s="16" t="s">
        <v>70</v>
      </c>
      <c r="G20" s="17" t="s">
        <v>67</v>
      </c>
      <c r="H20" s="18">
        <v>1.0</v>
      </c>
      <c r="I20" s="18"/>
      <c r="J20" s="17"/>
      <c r="K20" s="18"/>
      <c r="L20" s="18"/>
      <c r="M20" s="17"/>
      <c r="N20" s="18"/>
      <c r="O20" s="18"/>
      <c r="P20" s="18"/>
      <c r="Q20" s="18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6" t="s">
        <v>71</v>
      </c>
      <c r="B21" s="16" t="s">
        <v>72</v>
      </c>
      <c r="C21" s="17">
        <v>2022.0</v>
      </c>
      <c r="D21" s="17"/>
      <c r="E21" s="16" t="s">
        <v>73</v>
      </c>
      <c r="F21" s="16" t="s">
        <v>74</v>
      </c>
      <c r="G21" s="17" t="s">
        <v>67</v>
      </c>
      <c r="H21" s="18"/>
      <c r="I21" s="18"/>
      <c r="J21" s="17"/>
      <c r="K21" s="18">
        <v>1.0</v>
      </c>
      <c r="L21" s="18"/>
      <c r="M21" s="17"/>
      <c r="N21" s="18"/>
      <c r="O21" s="18"/>
      <c r="P21" s="18"/>
      <c r="Q21" s="18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6" t="s">
        <v>75</v>
      </c>
      <c r="B22" s="16" t="s">
        <v>76</v>
      </c>
      <c r="C22" s="17">
        <v>2023.0</v>
      </c>
      <c r="D22" s="17"/>
      <c r="E22" s="16" t="s">
        <v>77</v>
      </c>
      <c r="F22" s="16" t="s">
        <v>78</v>
      </c>
      <c r="G22" s="17" t="s">
        <v>79</v>
      </c>
      <c r="H22" s="18"/>
      <c r="I22" s="18"/>
      <c r="J22" s="18"/>
      <c r="K22" s="17">
        <v>1.0</v>
      </c>
      <c r="L22" s="18"/>
      <c r="M22" s="18"/>
      <c r="N22" s="18"/>
      <c r="O22" s="18"/>
      <c r="P22" s="18"/>
      <c r="Q22" s="18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6" t="s">
        <v>80</v>
      </c>
      <c r="B23" s="16" t="s">
        <v>81</v>
      </c>
      <c r="C23" s="17">
        <v>2021.0</v>
      </c>
      <c r="D23" s="17"/>
      <c r="E23" s="16" t="s">
        <v>82</v>
      </c>
      <c r="F23" s="16" t="s">
        <v>83</v>
      </c>
      <c r="G23" s="17" t="s">
        <v>84</v>
      </c>
      <c r="H23" s="18"/>
      <c r="I23" s="18"/>
      <c r="J23" s="18"/>
      <c r="K23" s="18"/>
      <c r="L23" s="17"/>
      <c r="M23" s="18"/>
      <c r="N23" s="18"/>
      <c r="O23" s="18"/>
      <c r="P23" s="18">
        <v>1.0</v>
      </c>
      <c r="Q23" s="18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6" t="s">
        <v>85</v>
      </c>
      <c r="B24" s="16" t="s">
        <v>86</v>
      </c>
      <c r="C24" s="17">
        <v>2021.0</v>
      </c>
      <c r="D24" s="17"/>
      <c r="E24" s="16" t="s">
        <v>87</v>
      </c>
      <c r="F24" s="16" t="s">
        <v>88</v>
      </c>
      <c r="G24" s="17" t="s">
        <v>84</v>
      </c>
      <c r="H24" s="18"/>
      <c r="I24" s="18"/>
      <c r="J24" s="18"/>
      <c r="K24" s="17"/>
      <c r="L24" s="18"/>
      <c r="M24" s="18"/>
      <c r="N24" s="18"/>
      <c r="O24" s="18"/>
      <c r="P24" s="18">
        <v>1.0</v>
      </c>
      <c r="Q24" s="18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6" t="s">
        <v>89</v>
      </c>
      <c r="B25" s="16" t="s">
        <v>90</v>
      </c>
      <c r="C25" s="17">
        <v>2022.0</v>
      </c>
      <c r="D25" s="17"/>
      <c r="E25" s="16" t="s">
        <v>91</v>
      </c>
      <c r="F25" s="16" t="s">
        <v>92</v>
      </c>
      <c r="G25" s="17" t="s">
        <v>84</v>
      </c>
      <c r="H25" s="18"/>
      <c r="I25" s="18"/>
      <c r="J25" s="18"/>
      <c r="K25" s="17"/>
      <c r="L25" s="18"/>
      <c r="M25" s="18"/>
      <c r="N25" s="18"/>
      <c r="O25" s="18"/>
      <c r="P25" s="18">
        <v>1.0</v>
      </c>
      <c r="Q25" s="18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6" t="s">
        <v>93</v>
      </c>
      <c r="B26" s="16" t="s">
        <v>90</v>
      </c>
      <c r="C26" s="17">
        <v>2022.0</v>
      </c>
      <c r="D26" s="17"/>
      <c r="E26" s="16" t="s">
        <v>94</v>
      </c>
      <c r="F26" s="16" t="s">
        <v>95</v>
      </c>
      <c r="G26" s="17" t="s">
        <v>84</v>
      </c>
      <c r="H26" s="18"/>
      <c r="I26" s="18"/>
      <c r="J26" s="18"/>
      <c r="K26" s="18"/>
      <c r="L26" s="18"/>
      <c r="M26" s="17"/>
      <c r="N26" s="18"/>
      <c r="O26" s="18"/>
      <c r="P26" s="18">
        <v>1.0</v>
      </c>
      <c r="Q26" s="18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6" t="s">
        <v>96</v>
      </c>
      <c r="B27" s="16" t="s">
        <v>97</v>
      </c>
      <c r="C27" s="17">
        <v>2023.0</v>
      </c>
      <c r="D27" s="17"/>
      <c r="E27" s="16" t="s">
        <v>98</v>
      </c>
      <c r="F27" s="16" t="s">
        <v>99</v>
      </c>
      <c r="G27" s="17" t="s">
        <v>84</v>
      </c>
      <c r="H27" s="17"/>
      <c r="I27" s="18"/>
      <c r="J27" s="18">
        <v>1.0</v>
      </c>
      <c r="K27" s="18"/>
      <c r="L27" s="18"/>
      <c r="M27" s="18"/>
      <c r="N27" s="18"/>
      <c r="O27" s="18"/>
      <c r="P27" s="18"/>
      <c r="Q27" s="18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6" t="s">
        <v>100</v>
      </c>
      <c r="B28" s="16" t="s">
        <v>101</v>
      </c>
      <c r="C28" s="17">
        <v>2024.0</v>
      </c>
      <c r="D28" s="17"/>
      <c r="E28" s="16" t="s">
        <v>102</v>
      </c>
      <c r="F28" s="16"/>
      <c r="G28" s="17" t="s">
        <v>84</v>
      </c>
      <c r="H28" s="17"/>
      <c r="I28" s="18"/>
      <c r="J28" s="18"/>
      <c r="K28" s="18">
        <v>1.0</v>
      </c>
      <c r="L28" s="18"/>
      <c r="M28" s="18"/>
      <c r="N28" s="18"/>
      <c r="O28" s="18"/>
      <c r="P28" s="18"/>
      <c r="Q28" s="18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6" t="s">
        <v>103</v>
      </c>
      <c r="B29" s="16" t="s">
        <v>104</v>
      </c>
      <c r="C29" s="17">
        <v>2024.0</v>
      </c>
      <c r="D29" s="17"/>
      <c r="E29" s="16" t="s">
        <v>105</v>
      </c>
      <c r="F29" s="16"/>
      <c r="G29" s="17" t="s">
        <v>84</v>
      </c>
      <c r="H29" s="18"/>
      <c r="I29" s="17"/>
      <c r="J29" s="18"/>
      <c r="K29" s="18">
        <v>1.0</v>
      </c>
      <c r="L29" s="18"/>
      <c r="M29" s="18"/>
      <c r="N29" s="18"/>
      <c r="O29" s="18"/>
      <c r="P29" s="18"/>
      <c r="Q29" s="18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6" t="s">
        <v>106</v>
      </c>
      <c r="B30" s="16" t="s">
        <v>107</v>
      </c>
      <c r="C30" s="17">
        <v>2021.0</v>
      </c>
      <c r="D30" s="17"/>
      <c r="E30" s="16" t="s">
        <v>108</v>
      </c>
      <c r="F30" s="16" t="s">
        <v>109</v>
      </c>
      <c r="G30" s="17" t="s">
        <v>110</v>
      </c>
      <c r="H30" s="18">
        <v>1.0</v>
      </c>
      <c r="I30" s="18"/>
      <c r="J30" s="18"/>
      <c r="K30" s="18"/>
      <c r="L30" s="18"/>
      <c r="M30" s="17"/>
      <c r="N30" s="18"/>
      <c r="O30" s="18"/>
      <c r="P30" s="18"/>
      <c r="Q30" s="18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6" t="s">
        <v>111</v>
      </c>
      <c r="B31" s="16" t="s">
        <v>112</v>
      </c>
      <c r="C31" s="17">
        <v>2022.0</v>
      </c>
      <c r="D31" s="17"/>
      <c r="E31" s="16" t="s">
        <v>113</v>
      </c>
      <c r="F31" s="16" t="s">
        <v>114</v>
      </c>
      <c r="G31" s="17" t="s">
        <v>110</v>
      </c>
      <c r="H31" s="17">
        <v>1.0</v>
      </c>
      <c r="I31" s="18"/>
      <c r="J31" s="18"/>
      <c r="K31" s="18"/>
      <c r="L31" s="18"/>
      <c r="M31" s="18"/>
      <c r="N31" s="18"/>
      <c r="O31" s="18"/>
      <c r="P31" s="18"/>
      <c r="Q31" s="18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6" t="s">
        <v>115</v>
      </c>
      <c r="B32" s="16" t="s">
        <v>116</v>
      </c>
      <c r="C32" s="17">
        <v>2022.0</v>
      </c>
      <c r="D32" s="17"/>
      <c r="E32" s="16" t="s">
        <v>117</v>
      </c>
      <c r="F32" s="16" t="s">
        <v>118</v>
      </c>
      <c r="G32" s="17" t="s">
        <v>119</v>
      </c>
      <c r="H32" s="17"/>
      <c r="I32" s="18"/>
      <c r="J32" s="18"/>
      <c r="K32" s="18"/>
      <c r="L32" s="18"/>
      <c r="M32" s="18"/>
      <c r="N32" s="18"/>
      <c r="O32" s="18"/>
      <c r="P32" s="18"/>
      <c r="Q32" s="18">
        <v>1.0</v>
      </c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6" t="s">
        <v>120</v>
      </c>
      <c r="B33" s="16" t="s">
        <v>121</v>
      </c>
      <c r="C33" s="17">
        <v>2023.0</v>
      </c>
      <c r="D33" s="17"/>
      <c r="E33" s="16" t="s">
        <v>122</v>
      </c>
      <c r="F33" s="16" t="s">
        <v>123</v>
      </c>
      <c r="G33" s="17" t="s">
        <v>110</v>
      </c>
      <c r="H33" s="18">
        <v>1.0</v>
      </c>
      <c r="I33" s="18"/>
      <c r="J33" s="18"/>
      <c r="K33" s="18"/>
      <c r="L33" s="18"/>
      <c r="M33" s="18"/>
      <c r="N33" s="18"/>
      <c r="O33" s="18"/>
      <c r="P33" s="18"/>
      <c r="Q33" s="17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6" t="s">
        <v>124</v>
      </c>
      <c r="B34" s="16" t="s">
        <v>125</v>
      </c>
      <c r="C34" s="17">
        <v>2021.0</v>
      </c>
      <c r="D34" s="17"/>
      <c r="E34" s="16" t="s">
        <v>126</v>
      </c>
      <c r="F34" s="16" t="s">
        <v>127</v>
      </c>
      <c r="G34" s="17" t="s">
        <v>128</v>
      </c>
      <c r="H34" s="18"/>
      <c r="I34" s="17">
        <v>1.0</v>
      </c>
      <c r="J34" s="18"/>
      <c r="K34" s="18"/>
      <c r="L34" s="18"/>
      <c r="M34" s="18"/>
      <c r="N34" s="18"/>
      <c r="O34" s="18"/>
      <c r="P34" s="18"/>
      <c r="Q34" s="18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6" t="s">
        <v>129</v>
      </c>
      <c r="B35" s="16" t="s">
        <v>130</v>
      </c>
      <c r="C35" s="17">
        <v>2022.0</v>
      </c>
      <c r="D35" s="17"/>
      <c r="E35" s="16" t="s">
        <v>131</v>
      </c>
      <c r="F35" s="16" t="s">
        <v>132</v>
      </c>
      <c r="G35" s="17" t="s">
        <v>128</v>
      </c>
      <c r="H35" s="17"/>
      <c r="I35" s="18">
        <v>1.0</v>
      </c>
      <c r="J35" s="18"/>
      <c r="K35" s="18"/>
      <c r="L35" s="18"/>
      <c r="M35" s="18"/>
      <c r="N35" s="18"/>
      <c r="O35" s="18"/>
      <c r="P35" s="18"/>
      <c r="Q35" s="18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6" t="s">
        <v>133</v>
      </c>
      <c r="B36" s="16" t="s">
        <v>134</v>
      </c>
      <c r="C36" s="17">
        <v>2022.0</v>
      </c>
      <c r="D36" s="17"/>
      <c r="E36" s="16" t="s">
        <v>135</v>
      </c>
      <c r="F36" s="16" t="s">
        <v>136</v>
      </c>
      <c r="G36" s="17" t="s">
        <v>128</v>
      </c>
      <c r="H36" s="18"/>
      <c r="I36" s="18">
        <v>1.0</v>
      </c>
      <c r="J36" s="17"/>
      <c r="K36" s="18"/>
      <c r="L36" s="18"/>
      <c r="M36" s="18"/>
      <c r="N36" s="18"/>
      <c r="O36" s="18"/>
      <c r="P36" s="18"/>
      <c r="Q36" s="18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6" t="s">
        <v>137</v>
      </c>
      <c r="B37" s="16" t="s">
        <v>138</v>
      </c>
      <c r="C37" s="17">
        <v>2023.0</v>
      </c>
      <c r="D37" s="17"/>
      <c r="E37" s="16" t="s">
        <v>139</v>
      </c>
      <c r="F37" s="16" t="s">
        <v>140</v>
      </c>
      <c r="G37" s="17" t="s">
        <v>128</v>
      </c>
      <c r="H37" s="18">
        <v>1.0</v>
      </c>
      <c r="I37" s="18"/>
      <c r="J37" s="18"/>
      <c r="K37" s="17"/>
      <c r="L37" s="18"/>
      <c r="M37" s="18"/>
      <c r="N37" s="18"/>
      <c r="O37" s="18"/>
      <c r="P37" s="18"/>
      <c r="Q37" s="18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6" t="s">
        <v>141</v>
      </c>
      <c r="B38" s="16" t="s">
        <v>142</v>
      </c>
      <c r="C38" s="17">
        <v>2023.0</v>
      </c>
      <c r="D38" s="17"/>
      <c r="E38" s="16" t="s">
        <v>143</v>
      </c>
      <c r="F38" s="16" t="s">
        <v>144</v>
      </c>
      <c r="G38" s="17" t="s">
        <v>128</v>
      </c>
      <c r="H38" s="18"/>
      <c r="I38" s="17"/>
      <c r="J38" s="18">
        <v>1.0</v>
      </c>
      <c r="K38" s="18"/>
      <c r="L38" s="18"/>
      <c r="M38" s="18"/>
      <c r="N38" s="18"/>
      <c r="O38" s="18"/>
      <c r="P38" s="18"/>
      <c r="Q38" s="18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6" t="s">
        <v>145</v>
      </c>
      <c r="B39" s="16" t="s">
        <v>146</v>
      </c>
      <c r="C39" s="17">
        <v>2021.0</v>
      </c>
      <c r="D39" s="17"/>
      <c r="E39" s="16" t="s">
        <v>147</v>
      </c>
      <c r="F39" s="16" t="s">
        <v>148</v>
      </c>
      <c r="G39" s="17" t="s">
        <v>149</v>
      </c>
      <c r="H39" s="18">
        <v>1.0</v>
      </c>
      <c r="I39" s="17"/>
      <c r="J39" s="18"/>
      <c r="K39" s="18"/>
      <c r="L39" s="18"/>
      <c r="M39" s="18"/>
      <c r="N39" s="18"/>
      <c r="O39" s="18"/>
      <c r="P39" s="18"/>
      <c r="Q39" s="18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6" t="s">
        <v>150</v>
      </c>
      <c r="B40" s="16" t="s">
        <v>151</v>
      </c>
      <c r="C40" s="17">
        <v>2021.0</v>
      </c>
      <c r="D40" s="17"/>
      <c r="E40" s="16" t="s">
        <v>152</v>
      </c>
      <c r="F40" s="16" t="s">
        <v>153</v>
      </c>
      <c r="G40" s="17" t="s">
        <v>149</v>
      </c>
      <c r="H40" s="18"/>
      <c r="I40" s="17"/>
      <c r="J40" s="18"/>
      <c r="K40" s="18">
        <v>1.0</v>
      </c>
      <c r="L40" s="18"/>
      <c r="M40" s="18"/>
      <c r="N40" s="18"/>
      <c r="O40" s="18"/>
      <c r="P40" s="18"/>
      <c r="Q40" s="18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6" t="s">
        <v>154</v>
      </c>
      <c r="B41" s="16" t="s">
        <v>155</v>
      </c>
      <c r="C41" s="17">
        <v>2022.0</v>
      </c>
      <c r="D41" s="17"/>
      <c r="E41" s="16" t="s">
        <v>156</v>
      </c>
      <c r="F41" s="16" t="s">
        <v>157</v>
      </c>
      <c r="G41" s="17" t="s">
        <v>149</v>
      </c>
      <c r="H41" s="18"/>
      <c r="I41" s="17"/>
      <c r="J41" s="18"/>
      <c r="K41" s="18">
        <v>1.0</v>
      </c>
      <c r="L41" s="18"/>
      <c r="M41" s="18"/>
      <c r="N41" s="18"/>
      <c r="O41" s="18"/>
      <c r="P41" s="18"/>
      <c r="Q41" s="18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6" t="s">
        <v>158</v>
      </c>
      <c r="B42" s="16" t="s">
        <v>159</v>
      </c>
      <c r="C42" s="17">
        <v>2023.0</v>
      </c>
      <c r="D42" s="17"/>
      <c r="E42" s="16" t="s">
        <v>160</v>
      </c>
      <c r="F42" s="16" t="s">
        <v>157</v>
      </c>
      <c r="G42" s="17" t="s">
        <v>149</v>
      </c>
      <c r="H42" s="18"/>
      <c r="I42" s="17"/>
      <c r="J42" s="18">
        <v>1.0</v>
      </c>
      <c r="K42" s="18"/>
      <c r="L42" s="18"/>
      <c r="M42" s="18"/>
      <c r="N42" s="18"/>
      <c r="O42" s="18"/>
      <c r="P42" s="18"/>
      <c r="Q42" s="18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6" t="s">
        <v>161</v>
      </c>
      <c r="B43" s="16" t="s">
        <v>162</v>
      </c>
      <c r="C43" s="17">
        <v>2021.0</v>
      </c>
      <c r="D43" s="17"/>
      <c r="E43" s="16" t="s">
        <v>163</v>
      </c>
      <c r="F43" s="16" t="s">
        <v>164</v>
      </c>
      <c r="G43" s="17" t="s">
        <v>162</v>
      </c>
      <c r="H43" s="18"/>
      <c r="I43" s="17"/>
      <c r="J43" s="18"/>
      <c r="K43" s="18"/>
      <c r="L43" s="18"/>
      <c r="M43" s="18"/>
      <c r="N43" s="18"/>
      <c r="O43" s="18">
        <v>1.0</v>
      </c>
      <c r="P43" s="18"/>
      <c r="Q43" s="18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6" t="s">
        <v>165</v>
      </c>
      <c r="B44" s="16" t="s">
        <v>162</v>
      </c>
      <c r="C44" s="17">
        <v>2021.0</v>
      </c>
      <c r="D44" s="17"/>
      <c r="E44" s="16" t="s">
        <v>166</v>
      </c>
      <c r="F44" s="16" t="s">
        <v>167</v>
      </c>
      <c r="G44" s="17" t="s">
        <v>162</v>
      </c>
      <c r="H44" s="17">
        <v>1.0</v>
      </c>
      <c r="I44" s="18"/>
      <c r="J44" s="18"/>
      <c r="K44" s="18"/>
      <c r="L44" s="18"/>
      <c r="M44" s="18"/>
      <c r="N44" s="18"/>
      <c r="O44" s="18"/>
      <c r="P44" s="18"/>
      <c r="Q44" s="18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6" t="s">
        <v>168</v>
      </c>
      <c r="B45" s="16" t="s">
        <v>169</v>
      </c>
      <c r="C45" s="17">
        <v>2022.0</v>
      </c>
      <c r="D45" s="17"/>
      <c r="E45" s="16" t="s">
        <v>170</v>
      </c>
      <c r="F45" s="16"/>
      <c r="G45" s="17" t="s">
        <v>162</v>
      </c>
      <c r="H45" s="18"/>
      <c r="I45" s="18"/>
      <c r="J45" s="18"/>
      <c r="K45" s="18"/>
      <c r="L45" s="18"/>
      <c r="M45" s="18"/>
      <c r="N45" s="18"/>
      <c r="O45" s="18">
        <v>1.0</v>
      </c>
      <c r="P45" s="18"/>
      <c r="Q45" s="18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6" t="s">
        <v>171</v>
      </c>
      <c r="B46" s="16" t="s">
        <v>172</v>
      </c>
      <c r="C46" s="17">
        <v>2023.0</v>
      </c>
      <c r="D46" s="17"/>
      <c r="E46" s="16" t="s">
        <v>173</v>
      </c>
      <c r="F46" s="16" t="s">
        <v>174</v>
      </c>
      <c r="G46" s="17" t="s">
        <v>162</v>
      </c>
      <c r="H46" s="18">
        <v>1.0</v>
      </c>
      <c r="I46" s="18"/>
      <c r="J46" s="18"/>
      <c r="K46" s="18"/>
      <c r="L46" s="18"/>
      <c r="M46" s="18"/>
      <c r="N46" s="18"/>
      <c r="O46" s="18"/>
      <c r="P46" s="18"/>
      <c r="Q46" s="18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6" t="s">
        <v>175</v>
      </c>
      <c r="B47" s="16" t="s">
        <v>176</v>
      </c>
      <c r="C47" s="17">
        <v>2023.0</v>
      </c>
      <c r="D47" s="17"/>
      <c r="E47" s="16" t="s">
        <v>177</v>
      </c>
      <c r="F47" s="16" t="s">
        <v>178</v>
      </c>
      <c r="G47" s="17" t="s">
        <v>162</v>
      </c>
      <c r="H47" s="18">
        <v>1.0</v>
      </c>
      <c r="I47" s="18"/>
      <c r="J47" s="18"/>
      <c r="K47" s="18"/>
      <c r="L47" s="18"/>
      <c r="M47" s="18"/>
      <c r="N47" s="18"/>
      <c r="O47" s="18"/>
      <c r="P47" s="18"/>
      <c r="Q47" s="18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6" t="s">
        <v>179</v>
      </c>
      <c r="B48" s="16" t="s">
        <v>180</v>
      </c>
      <c r="C48" s="17">
        <v>2021.0</v>
      </c>
      <c r="D48" s="16"/>
      <c r="E48" s="19" t="s">
        <v>181</v>
      </c>
      <c r="F48" s="16" t="s">
        <v>182</v>
      </c>
      <c r="G48" s="17" t="s">
        <v>183</v>
      </c>
      <c r="H48" s="18"/>
      <c r="I48" s="18">
        <v>1.0</v>
      </c>
      <c r="J48" s="18"/>
      <c r="K48" s="18"/>
      <c r="L48" s="18"/>
      <c r="M48" s="18"/>
      <c r="N48" s="18"/>
      <c r="O48" s="18"/>
      <c r="P48" s="18"/>
      <c r="Q48" s="18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6" t="s">
        <v>184</v>
      </c>
      <c r="B49" s="19" t="s">
        <v>185</v>
      </c>
      <c r="C49" s="17">
        <v>2022.0</v>
      </c>
      <c r="D49" s="16"/>
      <c r="E49" s="19" t="s">
        <v>186</v>
      </c>
      <c r="F49" s="20" t="s">
        <v>187</v>
      </c>
      <c r="G49" s="17" t="s">
        <v>183</v>
      </c>
      <c r="H49" s="18"/>
      <c r="I49" s="18"/>
      <c r="J49" s="18"/>
      <c r="K49" s="18"/>
      <c r="L49" s="21">
        <v>1.0</v>
      </c>
      <c r="M49" s="18"/>
      <c r="N49" s="18"/>
      <c r="O49" s="18"/>
      <c r="P49" s="18"/>
      <c r="Q49" s="18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6" t="s">
        <v>188</v>
      </c>
      <c r="B50" s="19" t="s">
        <v>189</v>
      </c>
      <c r="C50" s="22">
        <v>2022.0</v>
      </c>
      <c r="D50" s="16"/>
      <c r="E50" s="19" t="s">
        <v>190</v>
      </c>
      <c r="F50" s="20" t="s">
        <v>191</v>
      </c>
      <c r="G50" s="17" t="s">
        <v>183</v>
      </c>
      <c r="H50" s="18"/>
      <c r="I50" s="21">
        <v>1.0</v>
      </c>
      <c r="J50" s="18"/>
      <c r="K50" s="18"/>
      <c r="L50" s="18"/>
      <c r="M50" s="18"/>
      <c r="N50" s="18"/>
      <c r="O50" s="18"/>
      <c r="P50" s="18"/>
      <c r="Q50" s="18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6" t="s">
        <v>192</v>
      </c>
      <c r="B51" s="19" t="s">
        <v>193</v>
      </c>
      <c r="C51" s="22">
        <v>2023.0</v>
      </c>
      <c r="D51" s="16"/>
      <c r="E51" s="19" t="s">
        <v>194</v>
      </c>
      <c r="F51" s="20" t="s">
        <v>195</v>
      </c>
      <c r="G51" s="17" t="s">
        <v>183</v>
      </c>
      <c r="H51" s="18"/>
      <c r="I51" s="18"/>
      <c r="J51" s="21">
        <v>1.0</v>
      </c>
      <c r="K51" s="18"/>
      <c r="L51" s="18"/>
      <c r="M51" s="18"/>
      <c r="N51" s="18"/>
      <c r="O51" s="18"/>
      <c r="P51" s="18"/>
      <c r="Q51" s="18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6" t="s">
        <v>196</v>
      </c>
      <c r="B52" s="19" t="s">
        <v>197</v>
      </c>
      <c r="C52" s="22">
        <v>2023.0</v>
      </c>
      <c r="D52" s="16"/>
      <c r="E52" s="19" t="s">
        <v>198</v>
      </c>
      <c r="F52" s="20" t="s">
        <v>199</v>
      </c>
      <c r="G52" s="17" t="s">
        <v>183</v>
      </c>
      <c r="H52" s="18"/>
      <c r="I52" s="21">
        <v>1.0</v>
      </c>
      <c r="J52" s="18"/>
      <c r="K52" s="18"/>
      <c r="L52" s="18"/>
      <c r="M52" s="18"/>
      <c r="N52" s="18"/>
      <c r="O52" s="18"/>
      <c r="P52" s="18"/>
      <c r="Q52" s="18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6" t="s">
        <v>200</v>
      </c>
      <c r="B53" s="19" t="s">
        <v>201</v>
      </c>
      <c r="C53" s="22">
        <v>2024.0</v>
      </c>
      <c r="D53" s="16"/>
      <c r="E53" s="19" t="s">
        <v>202</v>
      </c>
      <c r="F53" s="20" t="s">
        <v>203</v>
      </c>
      <c r="G53" s="17" t="s">
        <v>183</v>
      </c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6" t="s">
        <v>204</v>
      </c>
      <c r="B54" s="19" t="s">
        <v>197</v>
      </c>
      <c r="C54" s="22">
        <v>2024.0</v>
      </c>
      <c r="D54" s="16"/>
      <c r="E54" s="19" t="s">
        <v>205</v>
      </c>
      <c r="F54" s="20" t="s">
        <v>206</v>
      </c>
      <c r="G54" s="17" t="s">
        <v>183</v>
      </c>
      <c r="H54" s="18"/>
      <c r="I54" s="21">
        <v>1.0</v>
      </c>
      <c r="J54" s="18"/>
      <c r="K54" s="18"/>
      <c r="L54" s="18"/>
      <c r="M54" s="18"/>
      <c r="N54" s="18"/>
      <c r="O54" s="18"/>
      <c r="P54" s="18"/>
      <c r="Q54" s="18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23"/>
      <c r="B55" s="23"/>
      <c r="C55" s="24"/>
      <c r="D55" s="24"/>
      <c r="E55" s="23"/>
      <c r="F55" s="23"/>
      <c r="G55" s="24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23"/>
      <c r="B56" s="23"/>
      <c r="C56" s="24"/>
      <c r="D56" s="24"/>
      <c r="E56" s="23"/>
      <c r="F56" s="23"/>
      <c r="G56" s="24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23"/>
      <c r="B57" s="23"/>
      <c r="C57" s="24"/>
      <c r="D57" s="24"/>
      <c r="E57" s="23"/>
      <c r="F57" s="23"/>
      <c r="G57" s="24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23"/>
      <c r="B58" s="23"/>
      <c r="C58" s="24"/>
      <c r="D58" s="24"/>
      <c r="E58" s="23"/>
      <c r="F58" s="23"/>
      <c r="G58" s="24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23"/>
      <c r="B59" s="23"/>
      <c r="C59" s="24"/>
      <c r="D59" s="24"/>
      <c r="E59" s="23"/>
      <c r="F59" s="23"/>
      <c r="G59" s="24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23"/>
      <c r="B60" s="23"/>
      <c r="C60" s="24"/>
      <c r="D60" s="24"/>
      <c r="E60" s="23"/>
      <c r="F60" s="23"/>
      <c r="G60" s="24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23"/>
      <c r="B61" s="23"/>
      <c r="C61" s="24"/>
      <c r="D61" s="24"/>
      <c r="E61" s="23"/>
      <c r="F61" s="23"/>
      <c r="G61" s="24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23"/>
      <c r="B62" s="23"/>
      <c r="C62" s="24"/>
      <c r="D62" s="24"/>
      <c r="E62" s="23"/>
      <c r="F62" s="23"/>
      <c r="G62" s="24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23"/>
      <c r="B63" s="23"/>
      <c r="C63" s="24"/>
      <c r="D63" s="24"/>
      <c r="E63" s="23"/>
      <c r="F63" s="23"/>
      <c r="G63" s="24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23"/>
      <c r="B64" s="23"/>
      <c r="C64" s="24"/>
      <c r="D64" s="24"/>
      <c r="E64" s="23"/>
      <c r="F64" s="23"/>
      <c r="G64" s="24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23"/>
      <c r="B65" s="23"/>
      <c r="C65" s="24"/>
      <c r="D65" s="24"/>
      <c r="E65" s="23"/>
      <c r="F65" s="26"/>
      <c r="G65" s="24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23"/>
      <c r="B66" s="23"/>
      <c r="C66" s="24"/>
      <c r="D66" s="24"/>
      <c r="E66" s="23"/>
      <c r="F66" s="23"/>
      <c r="G66" s="24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23"/>
      <c r="B67" s="23"/>
      <c r="C67" s="24"/>
      <c r="D67" s="24"/>
      <c r="E67" s="23"/>
      <c r="F67" s="26"/>
      <c r="G67" s="24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23"/>
      <c r="B68" s="23"/>
      <c r="C68" s="24"/>
      <c r="D68" s="24"/>
      <c r="E68" s="23"/>
      <c r="F68" s="26"/>
      <c r="G68" s="24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23"/>
      <c r="B69" s="23"/>
      <c r="C69" s="24"/>
      <c r="D69" s="24"/>
      <c r="E69" s="23"/>
      <c r="F69" s="26"/>
      <c r="G69" s="24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23"/>
      <c r="B70" s="23"/>
      <c r="C70" s="25"/>
      <c r="D70" s="25"/>
      <c r="E70" s="26"/>
      <c r="F70" s="26"/>
      <c r="G70" s="24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23"/>
      <c r="B71" s="23"/>
      <c r="C71" s="24"/>
      <c r="D71" s="24"/>
      <c r="E71" s="23"/>
      <c r="F71" s="23"/>
      <c r="G71" s="24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23"/>
      <c r="B72" s="23"/>
      <c r="C72" s="24"/>
      <c r="D72" s="24"/>
      <c r="E72" s="23"/>
      <c r="F72" s="23"/>
      <c r="G72" s="24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23"/>
      <c r="B73" s="23"/>
      <c r="C73" s="24"/>
      <c r="D73" s="24"/>
      <c r="E73" s="23"/>
      <c r="F73" s="24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23"/>
      <c r="B74" s="23"/>
      <c r="C74" s="24"/>
      <c r="D74" s="24"/>
      <c r="E74" s="23"/>
      <c r="F74" s="24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23"/>
      <c r="B75" s="23"/>
      <c r="C75" s="24"/>
      <c r="D75" s="24"/>
      <c r="E75" s="23"/>
      <c r="F75" s="24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26"/>
      <c r="B76" s="26"/>
      <c r="C76" s="25"/>
      <c r="D76" s="25"/>
      <c r="E76" s="26"/>
      <c r="F76" s="26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26"/>
      <c r="B77" s="26"/>
      <c r="C77" s="25"/>
      <c r="D77" s="25"/>
      <c r="E77" s="26"/>
      <c r="F77" s="26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26"/>
      <c r="B78" s="26"/>
      <c r="C78" s="25"/>
      <c r="D78" s="25"/>
      <c r="E78" s="26"/>
      <c r="F78" s="26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26"/>
      <c r="B79" s="26"/>
      <c r="C79" s="25"/>
      <c r="D79" s="25"/>
      <c r="E79" s="26"/>
      <c r="F79" s="26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26"/>
      <c r="B80" s="26"/>
      <c r="C80" s="25"/>
      <c r="D80" s="25"/>
      <c r="E80" s="26"/>
      <c r="F80" s="26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2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2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2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2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2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2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2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2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2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2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2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2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2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2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2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2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2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2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2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2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2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2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2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2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2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2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2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2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2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2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2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2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2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2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2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2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2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2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2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2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2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2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2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2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2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2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2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2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2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2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2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2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2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2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2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2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2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2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2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2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2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2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2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2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2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2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2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2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2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2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2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2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2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2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2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2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2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2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2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2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2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2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2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2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2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2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2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2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2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2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2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2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2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2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2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2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2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2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2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2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2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2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2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2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2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2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2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2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2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2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2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2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2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2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2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2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2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2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2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2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2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2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2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2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2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2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2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2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2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2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2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2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2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2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2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2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2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2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2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2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2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2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2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2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2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2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2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2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2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2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2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2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2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2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2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2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2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2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2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2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2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2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2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2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2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2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2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2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2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2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2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2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2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2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2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2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2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2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2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2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2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2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2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2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2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2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2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2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2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2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2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2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2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2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2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2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2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2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2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2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2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2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2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2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2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2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2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2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2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2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2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2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2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2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2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2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2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2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2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2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2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2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2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2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2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2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2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2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2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2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2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2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2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2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2"/>
      <c r="D315" s="2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2"/>
      <c r="D316" s="2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2"/>
      <c r="D317" s="2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2"/>
      <c r="D318" s="2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2"/>
      <c r="D319" s="2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2"/>
      <c r="D320" s="2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2"/>
      <c r="D321" s="2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2"/>
      <c r="D322" s="2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2"/>
      <c r="D323" s="2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2"/>
      <c r="D324" s="2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2"/>
      <c r="D325" s="2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2"/>
      <c r="D326" s="2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2"/>
      <c r="D327" s="2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2"/>
      <c r="D328" s="2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2"/>
      <c r="D329" s="2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2"/>
      <c r="D330" s="2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2"/>
      <c r="D331" s="2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2"/>
      <c r="D332" s="2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2"/>
      <c r="D333" s="2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2"/>
      <c r="D334" s="2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2"/>
      <c r="D335" s="2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2"/>
      <c r="D336" s="2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2"/>
      <c r="D337" s="2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2"/>
      <c r="D338" s="2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2"/>
      <c r="D339" s="2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2"/>
      <c r="D340" s="2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2"/>
      <c r="D341" s="2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2"/>
      <c r="D342" s="2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2"/>
      <c r="D343" s="2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2"/>
      <c r="D344" s="2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2"/>
      <c r="D345" s="2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2"/>
      <c r="D346" s="2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2"/>
      <c r="D347" s="2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2"/>
      <c r="D348" s="2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2"/>
      <c r="D349" s="2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2"/>
      <c r="D350" s="2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2"/>
      <c r="D351" s="2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2"/>
      <c r="D352" s="2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2"/>
      <c r="D353" s="2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2"/>
      <c r="D354" s="2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2"/>
      <c r="D355" s="2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2"/>
      <c r="D356" s="2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2"/>
      <c r="D357" s="2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2"/>
      <c r="D358" s="2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2"/>
      <c r="D359" s="2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2"/>
      <c r="D360" s="2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2"/>
      <c r="D361" s="2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2"/>
      <c r="D362" s="2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2"/>
      <c r="D363" s="2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2"/>
      <c r="D364" s="2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2"/>
      <c r="D365" s="2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2"/>
      <c r="D366" s="2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2"/>
      <c r="D367" s="2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2"/>
      <c r="D368" s="2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2"/>
      <c r="D369" s="2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2"/>
      <c r="D370" s="2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2"/>
      <c r="D371" s="2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2"/>
      <c r="D372" s="2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2"/>
      <c r="D373" s="2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2"/>
      <c r="D374" s="2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2"/>
      <c r="D375" s="2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2"/>
      <c r="D376" s="2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2"/>
      <c r="D377" s="2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2"/>
      <c r="D378" s="2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2"/>
      <c r="D379" s="2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2"/>
      <c r="D380" s="2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2"/>
      <c r="D381" s="2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2"/>
      <c r="D382" s="2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2"/>
      <c r="D383" s="2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2"/>
      <c r="D384" s="2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2"/>
      <c r="D385" s="2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2"/>
      <c r="D386" s="2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2"/>
      <c r="D387" s="2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2"/>
      <c r="D388" s="2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2"/>
      <c r="D389" s="2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2"/>
      <c r="D390" s="2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2"/>
      <c r="D391" s="2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2"/>
      <c r="D392" s="2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2"/>
      <c r="D393" s="2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2"/>
      <c r="D394" s="2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2"/>
      <c r="D395" s="2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2"/>
      <c r="D396" s="2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2"/>
      <c r="D397" s="2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2"/>
      <c r="D398" s="2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2"/>
      <c r="D399" s="2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2"/>
      <c r="D400" s="2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2"/>
      <c r="D401" s="2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2"/>
      <c r="D402" s="2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2"/>
      <c r="D403" s="2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2"/>
      <c r="D404" s="2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2"/>
      <c r="D405" s="2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2"/>
      <c r="D406" s="2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2"/>
      <c r="D407" s="2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2"/>
      <c r="D408" s="2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2"/>
      <c r="D409" s="2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2"/>
      <c r="D410" s="2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2"/>
      <c r="D411" s="2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2"/>
      <c r="D412" s="2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2"/>
      <c r="D413" s="2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2"/>
      <c r="D414" s="2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2"/>
      <c r="D415" s="2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2"/>
      <c r="D416" s="2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2"/>
      <c r="D417" s="2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2"/>
      <c r="D418" s="2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2"/>
      <c r="D419" s="2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2"/>
      <c r="D420" s="2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2"/>
      <c r="D421" s="2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2"/>
      <c r="D422" s="2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2"/>
      <c r="D423" s="2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2"/>
      <c r="D424" s="2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2"/>
      <c r="D425" s="2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2"/>
      <c r="D426" s="2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2"/>
      <c r="D427" s="2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2"/>
      <c r="D428" s="2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2"/>
      <c r="D429" s="2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2"/>
      <c r="D430" s="2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2"/>
      <c r="D431" s="2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2"/>
      <c r="D432" s="2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2"/>
      <c r="D433" s="2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2"/>
      <c r="D434" s="2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2"/>
      <c r="D435" s="2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2"/>
      <c r="D436" s="2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2"/>
      <c r="D437" s="2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2"/>
      <c r="D438" s="2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2"/>
      <c r="D439" s="2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2"/>
      <c r="D440" s="2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2"/>
      <c r="D441" s="2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2"/>
      <c r="D442" s="2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2"/>
      <c r="D443" s="2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2"/>
      <c r="D444" s="2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2"/>
      <c r="D445" s="2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2"/>
      <c r="D446" s="2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2"/>
      <c r="D447" s="2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2"/>
      <c r="D448" s="2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2"/>
      <c r="D449" s="2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2"/>
      <c r="D450" s="2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2"/>
      <c r="D451" s="2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2"/>
      <c r="D452" s="2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2"/>
      <c r="D453" s="2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2"/>
      <c r="D454" s="2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2"/>
      <c r="D455" s="2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2"/>
      <c r="D456" s="2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2"/>
      <c r="D457" s="2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2"/>
      <c r="D458" s="2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2"/>
      <c r="D459" s="2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2"/>
      <c r="D460" s="2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2"/>
      <c r="D461" s="2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2"/>
      <c r="D462" s="2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2"/>
      <c r="D463" s="2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2"/>
      <c r="D464" s="2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2"/>
      <c r="D465" s="2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2"/>
      <c r="D466" s="2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2"/>
      <c r="D467" s="2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2"/>
      <c r="D468" s="2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2"/>
      <c r="D469" s="2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2"/>
      <c r="D470" s="2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2"/>
      <c r="D471" s="2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2"/>
      <c r="D472" s="2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2"/>
      <c r="D473" s="2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2"/>
      <c r="D474" s="2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2"/>
      <c r="D475" s="2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2"/>
      <c r="D476" s="2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2"/>
      <c r="D477" s="2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2"/>
      <c r="D478" s="2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2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2"/>
      <c r="D480" s="2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2"/>
      <c r="D481" s="2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2"/>
      <c r="D482" s="2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2"/>
      <c r="D483" s="2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2"/>
      <c r="D484" s="2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2"/>
      <c r="D485" s="2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2"/>
      <c r="D486" s="2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2"/>
      <c r="D487" s="2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2"/>
      <c r="D488" s="2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2"/>
      <c r="D489" s="2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2"/>
      <c r="D490" s="2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2"/>
      <c r="D491" s="2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2"/>
      <c r="D492" s="2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2"/>
      <c r="D493" s="2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2"/>
      <c r="D494" s="2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2"/>
      <c r="D495" s="2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2"/>
      <c r="D496" s="2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2"/>
      <c r="D497" s="2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2"/>
      <c r="D498" s="2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2"/>
      <c r="D499" s="2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2"/>
      <c r="D500" s="2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2"/>
      <c r="D501" s="2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2"/>
      <c r="D502" s="2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2"/>
      <c r="D503" s="2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2"/>
      <c r="D504" s="2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2"/>
      <c r="D505" s="2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2"/>
      <c r="D506" s="2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2"/>
      <c r="D507" s="2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2"/>
      <c r="D508" s="2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2"/>
      <c r="D509" s="2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2"/>
      <c r="D510" s="2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2"/>
      <c r="D511" s="2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2"/>
      <c r="D512" s="2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2"/>
      <c r="D513" s="2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2"/>
      <c r="D514" s="2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2"/>
      <c r="D515" s="2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2"/>
      <c r="D516" s="2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2"/>
      <c r="D517" s="2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2"/>
      <c r="D518" s="2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2"/>
      <c r="D519" s="2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2"/>
      <c r="D520" s="2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2"/>
      <c r="D521" s="2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2"/>
      <c r="D522" s="2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2"/>
      <c r="D523" s="2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2"/>
      <c r="D524" s="2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2"/>
      <c r="D525" s="2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2"/>
      <c r="D526" s="2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2"/>
      <c r="D527" s="2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2"/>
      <c r="D528" s="2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2"/>
      <c r="D529" s="2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2"/>
      <c r="D530" s="2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2"/>
      <c r="D531" s="2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2"/>
      <c r="D532" s="2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2"/>
      <c r="D533" s="2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2"/>
      <c r="D534" s="2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2"/>
      <c r="D535" s="2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2"/>
      <c r="D536" s="2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2"/>
      <c r="D537" s="2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2"/>
      <c r="D538" s="2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2"/>
      <c r="D539" s="2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2"/>
      <c r="D540" s="2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2"/>
      <c r="D541" s="2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2"/>
      <c r="D542" s="2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2"/>
      <c r="D543" s="2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2"/>
      <c r="D544" s="2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2"/>
      <c r="D545" s="2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2"/>
      <c r="D546" s="2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2"/>
      <c r="D547" s="2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2"/>
      <c r="D548" s="2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2"/>
      <c r="D549" s="2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2"/>
      <c r="D550" s="2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2"/>
      <c r="D551" s="2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2"/>
      <c r="D552" s="2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2"/>
      <c r="D553" s="2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2"/>
      <c r="D554" s="2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2"/>
      <c r="D555" s="2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2"/>
      <c r="D556" s="2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2"/>
      <c r="D557" s="2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2"/>
      <c r="D558" s="2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2"/>
      <c r="D559" s="2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2"/>
      <c r="D560" s="2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2"/>
      <c r="D561" s="2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2"/>
      <c r="D562" s="2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2"/>
      <c r="D563" s="2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2"/>
      <c r="D564" s="2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2"/>
      <c r="D565" s="2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2"/>
      <c r="D566" s="2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2"/>
      <c r="D567" s="2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2"/>
      <c r="D568" s="2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2"/>
      <c r="D569" s="2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2"/>
      <c r="D570" s="2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2"/>
      <c r="D571" s="2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2"/>
      <c r="D572" s="2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2"/>
      <c r="D573" s="2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2"/>
      <c r="D574" s="2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2"/>
      <c r="D575" s="2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2"/>
      <c r="D576" s="2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2"/>
      <c r="D577" s="2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2"/>
      <c r="D578" s="2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2"/>
      <c r="D579" s="2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2"/>
      <c r="D580" s="2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2"/>
      <c r="D581" s="2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2"/>
      <c r="D582" s="2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2"/>
      <c r="D583" s="2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2"/>
      <c r="D584" s="2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2"/>
      <c r="D585" s="2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2"/>
      <c r="D586" s="2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2"/>
      <c r="D587" s="2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2"/>
      <c r="D588" s="2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2"/>
      <c r="D589" s="2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2"/>
      <c r="D590" s="2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2"/>
      <c r="D591" s="2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2"/>
      <c r="D592" s="2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2"/>
      <c r="D593" s="2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2"/>
      <c r="D594" s="2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2"/>
      <c r="D595" s="2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2"/>
      <c r="D596" s="2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2"/>
      <c r="D597" s="2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2"/>
      <c r="D598" s="2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2"/>
      <c r="D599" s="2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2"/>
      <c r="D600" s="2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2"/>
      <c r="D601" s="2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2"/>
      <c r="D602" s="2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2"/>
      <c r="D603" s="2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2"/>
      <c r="D604" s="2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2"/>
      <c r="D605" s="2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2"/>
      <c r="D606" s="2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2"/>
      <c r="D607" s="2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2"/>
      <c r="D608" s="2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2"/>
      <c r="D609" s="2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2"/>
      <c r="D610" s="2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2"/>
      <c r="D611" s="2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2"/>
      <c r="D612" s="2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2"/>
      <c r="D613" s="2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2"/>
      <c r="D614" s="2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2"/>
      <c r="D615" s="2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2"/>
      <c r="D616" s="2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2"/>
      <c r="D617" s="2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2"/>
      <c r="D618" s="2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2"/>
      <c r="D619" s="2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2"/>
      <c r="D620" s="2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2"/>
      <c r="D621" s="2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2"/>
      <c r="D622" s="2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2"/>
      <c r="D623" s="2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2"/>
      <c r="D624" s="2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2"/>
      <c r="D625" s="2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2"/>
      <c r="D626" s="2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2"/>
      <c r="D627" s="2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2"/>
      <c r="D628" s="2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2"/>
      <c r="D629" s="2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2"/>
      <c r="D630" s="2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2"/>
      <c r="D631" s="2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2"/>
      <c r="D632" s="2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2"/>
      <c r="D633" s="2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2"/>
      <c r="D634" s="2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2"/>
      <c r="D635" s="2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2"/>
      <c r="D636" s="2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2"/>
      <c r="D637" s="2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2"/>
      <c r="D638" s="2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2"/>
      <c r="D639" s="2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2"/>
      <c r="D640" s="2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2"/>
      <c r="D641" s="2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2"/>
      <c r="D642" s="2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2"/>
      <c r="D643" s="2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2"/>
      <c r="D644" s="2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2"/>
      <c r="D645" s="2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2"/>
      <c r="D646" s="2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2"/>
      <c r="D647" s="2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2"/>
      <c r="D648" s="2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2"/>
      <c r="D649" s="2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2"/>
      <c r="D650" s="2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2"/>
      <c r="D651" s="2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2"/>
      <c r="D652" s="2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2"/>
      <c r="D653" s="2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2"/>
      <c r="D654" s="2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2"/>
      <c r="D655" s="2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2"/>
      <c r="D656" s="2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2"/>
      <c r="D657" s="2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2"/>
      <c r="D658" s="2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2"/>
      <c r="D659" s="2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2"/>
      <c r="D660" s="2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2"/>
      <c r="D661" s="2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2"/>
      <c r="D662" s="2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2"/>
      <c r="D663" s="2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2"/>
      <c r="D664" s="2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2"/>
      <c r="D665" s="2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2"/>
      <c r="D666" s="2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2"/>
      <c r="D667" s="2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2"/>
      <c r="D668" s="2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2"/>
      <c r="D669" s="2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2"/>
      <c r="D670" s="2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2"/>
      <c r="D671" s="2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2"/>
      <c r="D672" s="2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2"/>
      <c r="D673" s="2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2"/>
      <c r="D674" s="2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2"/>
      <c r="D675" s="2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2"/>
      <c r="D676" s="2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2"/>
      <c r="D677" s="2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2"/>
      <c r="D678" s="2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2"/>
      <c r="D679" s="2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2"/>
      <c r="D680" s="2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2"/>
      <c r="D681" s="2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2"/>
      <c r="D682" s="2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2"/>
      <c r="D683" s="2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2"/>
      <c r="D684" s="2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2"/>
      <c r="D685" s="2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2"/>
      <c r="D686" s="2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2"/>
      <c r="D687" s="2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2"/>
      <c r="D688" s="2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2"/>
      <c r="D689" s="2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2"/>
      <c r="D690" s="2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2"/>
      <c r="D691" s="2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2"/>
      <c r="D692" s="2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2"/>
      <c r="D693" s="2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2"/>
      <c r="D694" s="2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2"/>
      <c r="D695" s="2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2"/>
      <c r="D696" s="2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2"/>
      <c r="D697" s="2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2"/>
      <c r="D698" s="2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2"/>
      <c r="D699" s="2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2"/>
      <c r="D700" s="2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2"/>
      <c r="D701" s="2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2"/>
      <c r="D702" s="2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2"/>
      <c r="D703" s="2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2"/>
      <c r="D704" s="2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2"/>
      <c r="D705" s="2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2"/>
      <c r="D706" s="2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2"/>
      <c r="D707" s="2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2"/>
      <c r="D708" s="2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2"/>
      <c r="D709" s="2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2"/>
      <c r="D710" s="2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2"/>
      <c r="D711" s="2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2"/>
      <c r="D712" s="2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2"/>
      <c r="D713" s="2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2"/>
      <c r="D714" s="2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2"/>
      <c r="D715" s="2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2"/>
      <c r="D716" s="2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2"/>
      <c r="D717" s="2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2"/>
      <c r="D718" s="2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2"/>
      <c r="D719" s="2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2"/>
      <c r="D720" s="2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2"/>
      <c r="D721" s="2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2"/>
      <c r="D722" s="2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2"/>
      <c r="D723" s="2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2"/>
      <c r="D724" s="2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2"/>
      <c r="D725" s="2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2"/>
      <c r="D726" s="2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2"/>
      <c r="D727" s="2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2"/>
      <c r="D728" s="2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2"/>
      <c r="D729" s="2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2"/>
      <c r="D730" s="2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2"/>
      <c r="D731" s="2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2"/>
      <c r="D732" s="2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2"/>
      <c r="D733" s="2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2"/>
      <c r="D734" s="2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2"/>
      <c r="D735" s="2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2"/>
      <c r="D736" s="2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2"/>
      <c r="D737" s="2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2"/>
      <c r="D738" s="2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2"/>
      <c r="D739" s="2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2"/>
      <c r="D740" s="2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2"/>
      <c r="D741" s="2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2"/>
      <c r="D742" s="2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2"/>
      <c r="D743" s="2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2"/>
      <c r="D744" s="2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2"/>
      <c r="D745" s="2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2"/>
      <c r="D746" s="2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2"/>
      <c r="D747" s="2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2"/>
      <c r="D748" s="2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2"/>
      <c r="D749" s="2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2"/>
      <c r="D750" s="2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2"/>
      <c r="D751" s="2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2"/>
      <c r="D752" s="2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2"/>
      <c r="D753" s="2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2"/>
      <c r="D754" s="2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2"/>
      <c r="D755" s="2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2"/>
      <c r="D756" s="2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2"/>
      <c r="D757" s="2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2"/>
      <c r="D758" s="2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2"/>
      <c r="D759" s="2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2"/>
      <c r="D760" s="2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2"/>
      <c r="D761" s="2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2"/>
      <c r="D762" s="2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2"/>
      <c r="D763" s="2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2"/>
      <c r="D764" s="2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2"/>
      <c r="D765" s="2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2"/>
      <c r="D766" s="2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2"/>
      <c r="D767" s="2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2"/>
      <c r="D768" s="2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2"/>
      <c r="D769" s="2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2"/>
      <c r="D770" s="2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2"/>
      <c r="D771" s="2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2"/>
      <c r="D772" s="2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2"/>
      <c r="D773" s="2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2"/>
      <c r="D774" s="2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2"/>
      <c r="D775" s="2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2"/>
      <c r="D776" s="2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2"/>
      <c r="D777" s="2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2"/>
      <c r="D778" s="2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2"/>
      <c r="D779" s="2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2"/>
      <c r="D780" s="2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2"/>
      <c r="D781" s="2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2"/>
      <c r="D782" s="2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2"/>
      <c r="D783" s="2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2"/>
      <c r="D784" s="2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2"/>
      <c r="D785" s="2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2"/>
      <c r="D786" s="2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2"/>
      <c r="D787" s="2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2"/>
      <c r="D788" s="2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2"/>
      <c r="D789" s="2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2"/>
      <c r="D790" s="2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2"/>
      <c r="D791" s="2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2"/>
      <c r="D792" s="2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2"/>
      <c r="D793" s="2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2"/>
      <c r="D794" s="2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2"/>
      <c r="D795" s="2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2"/>
      <c r="D796" s="2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2"/>
      <c r="D797" s="2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2"/>
      <c r="D798" s="2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2"/>
      <c r="D799" s="2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2"/>
      <c r="D800" s="2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2"/>
      <c r="D801" s="2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2"/>
      <c r="D802" s="2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2"/>
      <c r="D803" s="2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2"/>
      <c r="D804" s="2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2"/>
      <c r="D805" s="2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2"/>
      <c r="D806" s="2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2"/>
      <c r="D807" s="2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2"/>
      <c r="D808" s="2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2"/>
      <c r="D809" s="2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2"/>
      <c r="D810" s="2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2"/>
      <c r="D811" s="2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2"/>
      <c r="D812" s="2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2"/>
      <c r="D813" s="2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2"/>
      <c r="D814" s="2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2"/>
      <c r="D815" s="2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2"/>
      <c r="D816" s="2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2"/>
      <c r="D817" s="2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2"/>
      <c r="D818" s="2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2"/>
      <c r="D819" s="2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2"/>
      <c r="D820" s="2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2"/>
      <c r="D821" s="2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2"/>
      <c r="D822" s="2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2"/>
      <c r="D823" s="2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2"/>
      <c r="D824" s="2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2"/>
      <c r="D825" s="2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2"/>
      <c r="D826" s="2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2"/>
      <c r="D827" s="2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2"/>
      <c r="D828" s="2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2"/>
      <c r="D829" s="2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2"/>
      <c r="D830" s="2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2"/>
      <c r="D831" s="2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2"/>
      <c r="D832" s="2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2"/>
      <c r="D833" s="2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2"/>
      <c r="D834" s="2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2"/>
      <c r="D835" s="2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2"/>
      <c r="D836" s="2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2"/>
      <c r="D837" s="2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2"/>
      <c r="D838" s="2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2"/>
      <c r="D839" s="2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2"/>
      <c r="D840" s="2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2"/>
      <c r="D841" s="2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2"/>
      <c r="D842" s="2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2"/>
      <c r="D843" s="2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2"/>
      <c r="D844" s="2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2"/>
      <c r="D845" s="2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2"/>
      <c r="D846" s="2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2"/>
      <c r="D847" s="2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2"/>
      <c r="D848" s="2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2"/>
      <c r="D849" s="2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2"/>
      <c r="D850" s="2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2"/>
      <c r="D851" s="2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2"/>
      <c r="D852" s="2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2"/>
      <c r="D853" s="2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2"/>
      <c r="D854" s="2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2"/>
      <c r="D855" s="2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2"/>
      <c r="D856" s="2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2"/>
      <c r="D857" s="2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2"/>
      <c r="D858" s="2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2"/>
      <c r="D859" s="2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2"/>
      <c r="D860" s="2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2"/>
      <c r="D861" s="2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2"/>
      <c r="D862" s="2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2"/>
      <c r="D863" s="2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2"/>
      <c r="D864" s="2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2"/>
      <c r="D865" s="2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2"/>
      <c r="D866" s="2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2"/>
      <c r="D867" s="2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2"/>
      <c r="D868" s="2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2"/>
      <c r="D869" s="2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2"/>
      <c r="D870" s="2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2"/>
      <c r="D871" s="2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2"/>
      <c r="D872" s="2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2"/>
      <c r="D873" s="2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2"/>
      <c r="D874" s="2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2"/>
      <c r="D875" s="2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2"/>
      <c r="D876" s="2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2"/>
      <c r="D877" s="2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2"/>
      <c r="D878" s="2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2"/>
      <c r="D879" s="2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2"/>
      <c r="D880" s="2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2"/>
      <c r="D881" s="2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2"/>
      <c r="D882" s="2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2"/>
      <c r="D883" s="2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2"/>
      <c r="D884" s="2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2"/>
      <c r="D885" s="2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2"/>
      <c r="D886" s="2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2"/>
      <c r="D887" s="2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2"/>
      <c r="D888" s="2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2"/>
      <c r="D889" s="2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2"/>
      <c r="D890" s="2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2"/>
      <c r="D891" s="2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2"/>
      <c r="D892" s="2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2"/>
      <c r="D893" s="2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2"/>
      <c r="D894" s="2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2"/>
      <c r="D895" s="2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2"/>
      <c r="D896" s="2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2"/>
      <c r="D897" s="2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2"/>
      <c r="D898" s="2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2"/>
      <c r="D899" s="2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2"/>
      <c r="D900" s="2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2"/>
      <c r="D901" s="2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2"/>
      <c r="D902" s="2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2"/>
      <c r="D903" s="2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2"/>
      <c r="D904" s="2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2"/>
      <c r="D905" s="2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2"/>
      <c r="D906" s="2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2"/>
      <c r="D907" s="2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2"/>
      <c r="D908" s="2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2"/>
      <c r="D909" s="2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2"/>
      <c r="D910" s="2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2"/>
      <c r="D911" s="2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2"/>
      <c r="D912" s="2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2"/>
      <c r="D913" s="2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2"/>
      <c r="D914" s="2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2"/>
      <c r="D915" s="2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2"/>
      <c r="D916" s="2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2"/>
      <c r="D917" s="2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2"/>
      <c r="D918" s="2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2"/>
      <c r="D919" s="2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2"/>
      <c r="D920" s="2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2"/>
      <c r="D921" s="2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2"/>
      <c r="D922" s="2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2"/>
      <c r="D923" s="2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2"/>
      <c r="D924" s="2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2"/>
      <c r="D925" s="2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2"/>
      <c r="D926" s="2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2"/>
      <c r="D927" s="2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2"/>
      <c r="D928" s="2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2"/>
      <c r="D929" s="2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2"/>
      <c r="D930" s="2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2"/>
      <c r="D931" s="2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2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2"/>
      <c r="D933" s="2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2"/>
      <c r="D934" s="2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2"/>
      <c r="D935" s="2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2"/>
      <c r="D936" s="2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2"/>
      <c r="D937" s="2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2"/>
      <c r="D938" s="2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2"/>
      <c r="D939" s="2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2"/>
      <c r="D940" s="2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2"/>
      <c r="D941" s="2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2"/>
      <c r="D942" s="2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2"/>
      <c r="D943" s="2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2"/>
      <c r="D944" s="2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2"/>
      <c r="D945" s="2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2"/>
      <c r="D946" s="2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2"/>
      <c r="D947" s="2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2"/>
      <c r="D948" s="2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2"/>
      <c r="D949" s="2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2"/>
      <c r="D950" s="2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2"/>
      <c r="D951" s="2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2"/>
      <c r="D952" s="2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2"/>
      <c r="D953" s="2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2"/>
      <c r="D954" s="2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2"/>
      <c r="D955" s="2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2"/>
      <c r="D956" s="2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2"/>
      <c r="D957" s="2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2"/>
      <c r="D958" s="2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2"/>
      <c r="D959" s="2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2"/>
      <c r="D960" s="2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2"/>
      <c r="D961" s="2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2"/>
      <c r="D962" s="2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2"/>
      <c r="D963" s="2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2"/>
      <c r="D964" s="2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2"/>
      <c r="D965" s="2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2"/>
      <c r="D966" s="2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2"/>
      <c r="D967" s="2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2"/>
      <c r="D968" s="2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2"/>
      <c r="D969" s="2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2"/>
      <c r="D970" s="2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2"/>
      <c r="D971" s="2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2"/>
      <c r="D972" s="2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2"/>
      <c r="D973" s="2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2"/>
      <c r="D974" s="2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2"/>
      <c r="D975" s="2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2"/>
      <c r="D976" s="2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2"/>
      <c r="D977" s="2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2"/>
      <c r="D978" s="2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2"/>
      <c r="D979" s="2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2"/>
      <c r="D980" s="2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2"/>
      <c r="D981" s="2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2"/>
      <c r="D982" s="2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2"/>
      <c r="D983" s="2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2"/>
      <c r="D984" s="2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2"/>
      <c r="D985" s="2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2"/>
      <c r="D986" s="2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2"/>
      <c r="D987" s="2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2"/>
      <c r="D988" s="2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2"/>
      <c r="D989" s="2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2"/>
      <c r="D990" s="2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2"/>
      <c r="D991" s="2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2"/>
      <c r="D992" s="2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2"/>
      <c r="D993" s="2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2"/>
      <c r="D994" s="2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2"/>
      <c r="D995" s="2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2"/>
      <c r="D996" s="2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2"/>
      <c r="D997" s="2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2"/>
      <c r="D998" s="2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2"/>
      <c r="D999" s="2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2"/>
      <c r="D1000" s="2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ht="15.75" customHeight="1">
      <c r="A1001" s="1"/>
      <c r="B1001" s="1"/>
      <c r="C1001" s="2"/>
      <c r="D1001" s="2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ht="15.75" customHeight="1">
      <c r="A1002" s="1"/>
      <c r="B1002" s="1"/>
      <c r="C1002" s="2"/>
      <c r="D1002" s="2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ht="15.75" customHeight="1">
      <c r="A1003" s="1"/>
      <c r="B1003" s="1"/>
      <c r="C1003" s="2"/>
      <c r="D1003" s="2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</sheetData>
  <mergeCells count="1">
    <mergeCell ref="H9:L9"/>
  </mergeCells>
  <hyperlinks>
    <hyperlink r:id="rId1" ref="F49"/>
    <hyperlink r:id="rId2" ref="F50"/>
    <hyperlink r:id="rId3" ref="F51"/>
    <hyperlink r:id="rId4" ref="F52"/>
    <hyperlink r:id="rId5" ref="F53"/>
    <hyperlink r:id="rId6" ref="F54"/>
  </hyperlinks>
  <printOptions/>
  <pageMargins bottom="0.75" footer="0.0" header="0.0" left="0.7" right="0.7" top="0.75"/>
  <pageSetup fitToHeight="0" paperSize="9" orientation="landscape"/>
  <drawing r:id="rId7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2023-09-13T00:48:40Z</dcterms:created>
  <dc:creator>Apache POI</dc:creator>
</cp:coreProperties>
</file>