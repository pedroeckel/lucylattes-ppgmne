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anir\Desktop\"/>
    </mc:Choice>
  </mc:AlternateContent>
  <xr:revisionPtr revIDLastSave="0" documentId="13_ncr:1_{91B1C66A-2FA7-4C81-B49E-E19FDDBED0F1}" xr6:coauthVersionLast="47" xr6:coauthVersionMax="47" xr10:uidLastSave="{00000000-0000-0000-0000-000000000000}"/>
  <bookViews>
    <workbookView xWindow="7980" yWindow="1635" windowWidth="17220" windowHeight="15345" activeTab="1" xr2:uid="{00000000-000D-0000-FFFF-FFFF00000000}"/>
  </bookViews>
  <sheets>
    <sheet name="Met Calculo" sheetId="1" r:id="rId1"/>
    <sheet name="FWC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P4" i="2"/>
  <c r="O4" i="2"/>
  <c r="N4" i="2"/>
  <c r="M4" i="2"/>
  <c r="L4" i="2"/>
  <c r="K4" i="2"/>
  <c r="H4" i="2"/>
  <c r="J4" i="2"/>
  <c r="I4" i="2"/>
</calcChain>
</file>

<file path=xl/sharedStrings.xml><?xml version="1.0" encoding="utf-8"?>
<sst xmlns="http://schemas.openxmlformats.org/spreadsheetml/2006/main" count="182" uniqueCount="159">
  <si>
    <t>﻿Data set</t>
  </si>
  <si>
    <t>© 2023 Elsevier B.V. All rights reserved. SciVal, RELX Group and the RE symbol are trade marks of RELX Intellectual Properties SA, used under license.</t>
  </si>
  <si>
    <t>Year range</t>
  </si>
  <si>
    <t/>
  </si>
  <si>
    <t>Total Parcial</t>
  </si>
  <si>
    <t>A1</t>
  </si>
  <si>
    <t>A2</t>
  </si>
  <si>
    <t>A3</t>
  </si>
  <si>
    <t>B1</t>
  </si>
  <si>
    <t>B2</t>
  </si>
  <si>
    <t>Data source</t>
  </si>
  <si>
    <t>Scopus</t>
  </si>
  <si>
    <t>Date last updated</t>
  </si>
  <si>
    <t>Date exported</t>
  </si>
  <si>
    <t>FWCI 50</t>
  </si>
  <si>
    <t>Pontuação</t>
  </si>
  <si>
    <t>Title</t>
  </si>
  <si>
    <t>Authors</t>
  </si>
  <si>
    <t>Year</t>
  </si>
  <si>
    <t>Field-Weighted Citation Impact</t>
  </si>
  <si>
    <t>Reference</t>
  </si>
  <si>
    <t>DOI</t>
  </si>
  <si>
    <t>Docente Permanente</t>
  </si>
  <si>
    <t>Publications in PPGMNE</t>
  </si>
  <si>
    <t>A multigrid Waveform Relaxation Method for solving the Pennes bioheat equation</t>
  </si>
  <si>
    <t>Cosmo D. Santiago; Gylles R. Ströher; Marcio A. V. Pinto; Sebastião R. Franco</t>
  </si>
  <si>
    <t>10.1080/10407782.2022.2156411</t>
  </si>
  <si>
    <t>Cold-Crafted KNSu Mechanically Pressed Burning Rate for Combustion Pressure Ranging from 0.9 to 7.7 bar</t>
  </si>
  <si>
    <t>Carlos Henrique Marchi; Antonio Carlos Foltran; Diego Fernando Moro; Nicholas Dicati Pereira da Silva; Luciano Kiyoshi Araki; Izabel Cecília Ferreira de Souza Vicentin; Éderson Luiz dos Santos Dias; Alexandre Vidal Bento; Marcos Carvalho Campos (in memoriam)</t>
  </si>
  <si>
    <t>10.1080/00102202.2021.2011862</t>
  </si>
  <si>
    <t>Carlos Henrique Marchi 1</t>
  </si>
  <si>
    <t>Luciano Kiyoshi Araki 1</t>
  </si>
  <si>
    <t>Computational simulation of one-dimensional waves with the Multigrid Method / Simulação computacional de ondas unidimensionais com o Método Multigrid</t>
  </si>
  <si>
    <t>Maicon F. Malacarne; Marcio A. V. Pinto; Sebastião R. Franco</t>
  </si>
  <si>
    <t>10.34117/bjdv7n8-538</t>
  </si>
  <si>
    <t>C</t>
  </si>
  <si>
    <t>Marcio Augusto Villela Pinto 1</t>
  </si>
  <si>
    <t>High Order of Accuracy for Poisson Equation Obtained by Grouping of Repeated Richardson Extrapolation with Fourth Order Schemes</t>
  </si>
  <si>
    <t>Luciano Pereira da Silva; Bruno Benato Rutyna; Aline Roberta Santos Righi; Marcio Augusto Villela Pinto</t>
  </si>
  <si>
    <t>10.32604/cmes.2021.014239</t>
  </si>
  <si>
    <t>Marcio Augusto Villela Pinto 2</t>
  </si>
  <si>
    <t>B3</t>
  </si>
  <si>
    <t>Lid-Driven Square Cavity Flow: A Benchmark Solution with an 8192x8192 Grid</t>
  </si>
  <si>
    <t>10.1115/1.4052149</t>
  </si>
  <si>
    <t>Carlos Henrique Marchi 2</t>
  </si>
  <si>
    <t>Carlos Henrique Marchi; Cosmo Damião Santiago; Carlos Alberto Rezende de Carvalho, Jr.</t>
  </si>
  <si>
    <t>Movimento Vertical de Minifoguetes: Equações de Trajetórias e Análises Gráficas</t>
  </si>
  <si>
    <t>10.1590/1806-9126-rbef-2020-0479</t>
  </si>
  <si>
    <t>André Luíz Alves; Sérgio Souza Bento; Carlos Henrique Marchi</t>
  </si>
  <si>
    <t>Carlos Henrique Marchi 3</t>
  </si>
  <si>
    <t>Marchi, C. H., Foltran, A. C., Moro, D. F., da Silva, N. D. P., Araki, L. K., Cecília Ferreira de Souza Vicentin, I., … Campos (in memoriam), M. C. (2021). Cold-Crafted KNSu Mechanically Pressed Burning Rate for Combustion Pressure Ranging from 0.9 to 7.7 bar. Combustion Science and Technology, 195(9), 2210–2222. https://doi.org/10.1080/00102202.2021.2011862</t>
  </si>
  <si>
    <t>‌</t>
  </si>
  <si>
    <t>Malacarne, M. F., Pinto, V., &amp; Franco, S. R. (2021). Computational simulation of one-dimensional waves with the Multigrid Method / Simulação computacional de ondas unidimensionais com o Método Multigrid. Brazilian Journal of Development, 7(8), 83763–83775. https://doi.org/10.34117/bjdv7n8-538</t>
  </si>
  <si>
    <t>Pereira, L., Rutyna, B. B., Roberta, A., &amp; Augusto, M. (2021). High Order of Accuracy for Poisson Equation Obtained by Grouping of Repeated Richardson Extrapolation with Fourth Order Schemes. Computer Modeling in Engineering &amp; Sciences, 128(2), 699–715. https://doi.org/10.32604/cmes.2021.014239</t>
  </si>
  <si>
    <t>Marchi, C. H., Santiago, C. D., &amp; Alberto, C. (2021). Lid-Driven Square Cavity Flow: A Benchmark Solution With an 8192 × 8192 Grid. Journal of Verification Validation and Uncertainty Quantification, 6(4). https://doi.org/10.1115/1.4052149</t>
  </si>
  <si>
    <t>Alves, A. L., Bento, S. S., &amp; Marchi, C. H. (2021). Movimento Vertical de Minifoguetes: Equações de Trajetórias e Análises Gráficas. Revista Brasileira de Ensino de Física, 43. https://doi.org/10.1590/1806-9126-rbef-2020-0479</t>
  </si>
  <si>
    <t>High-resolution ILW outflow boundary treatment for the Navier-Stokes equations</t>
  </si>
  <si>
    <t>10.1016/j.compfluid.2022.105506</t>
  </si>
  <si>
    <t>Luciano Kiyoshi Araki 2</t>
  </si>
  <si>
    <t>Luciano K. Araki; Rafael B. de R. Borges; Nicholas Dicati P. da Silva; Chi-Wang Shu</t>
  </si>
  <si>
    <t>Araki, L. K., Rafael, Dicati, N., &amp; Shu, C.-W. (2022). High-resolution ILW outflow boundary treatment for the Navier–Stokes equations. Computers &amp; Fluids, 242, 105506–105506. https://doi.org/10.1016/j.compfluid.2022.105506</t>
  </si>
  <si>
    <t>Measuring the Effectiveness of Extrapolation Techniques Associated with the Multigrid Method Applied to the Navier-Stokes Equations</t>
  </si>
  <si>
    <t>10.4025/actascitechnol.v44i1.57398</t>
  </si>
  <si>
    <t>Bruno Benato Rutyna; Marcio Augusto Villela Pinto; Reverton Luis Antunes Neundorf; Marcio Alexandro Maciel Anunciação; Marcio André Martins</t>
  </si>
  <si>
    <t>Rutyna, B. B., Augusto, M., Antunes, L., Alexandro, M., &amp; Martins, M. A. (2022). Measuring the effectiveness of extrapolation techniques associated with the multigrid method applied to the Navier-Stokes equations. Acta Scientiarum. Technology/Acta Scientiarum. Technology, 44, e57398–e57398. https://doi.org/10.4025/actascitechnol.v44i1.57398</t>
  </si>
  <si>
    <t>Performance of the Multigrid Method with Time-Stepping to solve 1D and 2D wave equations</t>
  </si>
  <si>
    <t>10.1080/15502287.2021.1910750</t>
  </si>
  <si>
    <t>Marcio Augusto Villela Pinto 3</t>
  </si>
  <si>
    <t>Marcio Augusto Villela Pinto 4</t>
  </si>
  <si>
    <t>Reducing the discretization error for a poroelasticity problem in variables having extreme values</t>
  </si>
  <si>
    <t>Sandro Rodrigues; Márcio Augusto Villela Pinto; Márcio André Martins; Sebastião Romero Franco</t>
  </si>
  <si>
    <t>10.1007/s40430-022-03410-4</t>
  </si>
  <si>
    <t>Rodrigues, S., Augusto, M., Martins, M. A., &amp; Franco, S. R. (2022). Reducing the discretization error for a poroelasticity problem in variables having extreme values. Journal of the Brazilian Society of Mechanical Sciences and Engineering, 44(4). https://doi.org/10.1007/s40430-022-03410-4</t>
  </si>
  <si>
    <t>Marcio Augusto Villela Pinto 5</t>
  </si>
  <si>
    <t>A4</t>
  </si>
  <si>
    <t>Robust RRE technique for increasing the order of accuracy of SPH numerical solutions</t>
  </si>
  <si>
    <t>L.P. da Silva; C.H. Marchi; M. Meneguette; A.C. Foltran</t>
  </si>
  <si>
    <t>10.1016/j.matcom.2022.03.016</t>
  </si>
  <si>
    <t>Carlos Henrique Marchi 4</t>
  </si>
  <si>
    <t>da Silva, L. P., Marchi, C. H., Meneguette, M., &amp; Foltran, A. C. (2022). Robust RRE technique for increasing the order of accuracy of SPH numerical solutions. Mathematics and Computers in Simulation, 199, 231–252. https://doi.org/10.1016/j.matcom.2022.03.016</t>
  </si>
  <si>
    <t>Subdomain method in time with waveform relaxation in space applied to the wave equation combined with the multigrid method</t>
  </si>
  <si>
    <t>Maicon Felipe Malacarne; Marcio Augusto Villela Pinto; Sebastião Romero Franco</t>
  </si>
  <si>
    <t>Marcio Augusto Villela Pinto 6</t>
  </si>
  <si>
    <t>10.2139/ssrn.4089078</t>
  </si>
  <si>
    <t>Malacarne, M. F., Pinto, M. A. V., &amp; Romero Franco, S. (2022). Subdomain Method in Time with Waveform Relaxation in Space Applied to the Wave Equation Combined with the Multigrid Method. SSRN Electronic Journal. https://doi.org/10.2139/ssrn.4089078</t>
  </si>
  <si>
    <t>Verification and error analysis for the simulation of the grain mass aeration process using the method of manufactured solutions</t>
  </si>
  <si>
    <t>10.1016/j.biosystemseng.2022.08.006</t>
  </si>
  <si>
    <t>Marcio Augusto Villela Pinto 7</t>
  </si>
  <si>
    <t>Daniel Rigoni; Marcio A.V. Pinto; Jotair E. Kwiatkowski Jr.</t>
  </si>
  <si>
    <t>Rigoni, D., Pinto, M. A. V., &amp; Kwiatkowski, E. (2022). Verification and error analysis for the simulation of the grain mass aeration process using the method of manufactured solutions. Biosystems Engineering, 223, 149–160. https://doi.org/10.1016/j.biosystemseng.2022.08.006</t>
  </si>
  <si>
    <t>Marcio Augusto Villela Pinto 8</t>
  </si>
  <si>
    <t>An alternative full multigrid SIMPLEC approach for the incompressible Navier&amp;#45;Stokes equations</t>
  </si>
  <si>
    <t>10.1080/10407790.2023.2167752</t>
  </si>
  <si>
    <t>Marcio Augusto Villela Pinto 9</t>
  </si>
  <si>
    <t>Jean Michael Borges de Oliveira; Luciano Kiyoshi Araki; Marcio Augusto Villela Pinto; Simone de Fátima Tomazzoni Gonçalves</t>
  </si>
  <si>
    <t>10.1080/23324309.2023.2287008</t>
  </si>
  <si>
    <t>Marcio Augusto Villela Pinto 10</t>
  </si>
  <si>
    <t>P. H. S. Slompo; M. A. V. Pinto; M. L. Oliveira</t>
  </si>
  <si>
    <t>Comparison between Van Genuchten and Brooks-Corey Parameterizations in the Solution of Multiphase Problems in Rigid One-Dimensional Porous Media</t>
  </si>
  <si>
    <t>Slompo, P. H. S., Pinto, M. A. V., &amp; Oliveira, M. L. (2023). Comparison between Van Genuchten and Brooks-Corey Parameterizations in the Solution of Multiphase Problems in Rigid One-Dimensional Porous Media. Journal of Computational and Theoretical Transport, 52(6), 429–451. https://doi.org/10.1080/23324309.2023.2287008</t>
  </si>
  <si>
    <t>Oliveira, J. M. B. de, Araki, L. K., Pinto, M. A. V., &amp; Gonçalves, S. de F. T. (2023). An alternative full multigrid SIMPLEC approach for the incompressible Navier–Stokes equations. Numerical Heat Transfer, Part B: Fundamentals, 83(6), 410–432. https://doi.org/10.1080/10407790.2023.2167752</t>
  </si>
  <si>
    <t>On space-time ratio in the soybean mass aeration problem using a manufactured solution with realistic parameters</t>
  </si>
  <si>
    <t>10.1016/j.compag.2023.108300</t>
  </si>
  <si>
    <t>Daniel Rigoni; Marcio A.V. Pinto; Jotair E. Kwiatkowski Jr</t>
  </si>
  <si>
    <t>Rigoni, D., Pinto, M. A. V., &amp; Kwiatkowski, E. (2023). On space–time ratio in the soybean mass aeration problem using a manufactured solution with realistic parameters. Computers and Electronics in Agriculture, 214, 108300–108300. https://doi.org/10.1016/j.compag.2023.108300</t>
  </si>
  <si>
    <t>Marcio Augusto Villela Pinto 11</t>
  </si>
  <si>
    <t>Soluções analítica e numérica para o movimento vertical de um minifoguete</t>
  </si>
  <si>
    <t>10.1590/1806-9126-rbef-2023-0229</t>
  </si>
  <si>
    <t>Carlos Henrique Marchi 5</t>
  </si>
  <si>
    <t>Alves, A. L., Bento, S. S., &amp; Marchi, C. H. (2023). Soluções analítica e numérica para o movimento vertical de um minifoguete. Revista Brasileira de Ensino de Física, 45. https://doi.org/10.1590/1806-9126-rbef-2023-0229</t>
  </si>
  <si>
    <t>Verification and Validation of High-Resolution Inviscid and Viscous Conical Nozzle Flows</t>
  </si>
  <si>
    <t>10.1007/s42967-023-00271-z</t>
  </si>
  <si>
    <t>Luciano Kiyoshi Araki 3</t>
  </si>
  <si>
    <t>Araki, L. K., Borges, R. B. de R., da Silva, N. D. P., &amp; Shu, C.-W. (2023). Verification and Validation of High-Resolution Inviscid and Viscous Conical Nozzle Flows. Communications on Applied Mathematics and Computation, 6(1), 533–549. https://doi.org/10.1007/s42967-023-00271-z</t>
  </si>
  <si>
    <t>X</t>
  </si>
  <si>
    <t>Verification of Numerical Solutions of Thermal Radiation Problems in Participating and Non-Participating Media</t>
  </si>
  <si>
    <t>Antonio Carlos Foltran; Carlos Henrique Marchi; Luís Mauro Moura</t>
  </si>
  <si>
    <t>10.1080/10407790.2023.2191871</t>
  </si>
  <si>
    <t>Carlos Henrique Marchi 6</t>
  </si>
  <si>
    <t>Foltran, A. C., Marchi, C. H., &amp; Moura, L. M. (2023). Verification of numerical solutions of thermal radiation problems in participating and nonparticipating media. Numerical Heat Transfer, Part B: Fundamentals, 84(2), 143–165. https://doi.org/10.1080/10407790.2023.2191871</t>
  </si>
  <si>
    <t>Santiago, C. D., Ströher, G. R., Pinto, M. A. V., &amp; Franco, S. R. (2023). A multigrid Waveform Relaxation Method for solving the Pennes bioheat equation. Numerical Heat Transfer, Part A: Applications, 83(9), 976–990. https://doi.org/10.1080/10407782.2022.2156411</t>
  </si>
  <si>
    <t>Malacarne, M. F., Pinto, M. A. V., &amp; Franco, S. R. (2021). Performance of the multigrid method with time-stepping to solve 1D and 2D wave equations. International Journal for Computational Methods in Engineering Science and Mechanics, 23(1), 45–56. https://doi.org/10.1080/15502287.2021.1910750</t>
  </si>
  <si>
    <t>Fast convergence of SPH numerical solutions using robust algebraic multilevel</t>
  </si>
  <si>
    <t>L.P. da Silva; C.H. Marchi; M. Meneguetti; R. Suero</t>
  </si>
  <si>
    <t>Silva, L. P. da, Marchi, C. H., M. Meneguette, &amp; Suero, R. (2024). Fast convergence of SPH numerical solutions using robust algebraic multilevel. Journal of Computational Science, 102369–102369. https://doi.org/10.1016/j.jocs.2024.102369</t>
  </si>
  <si>
    <t>10.1016/j.jocs.2024.102369</t>
  </si>
  <si>
    <t>Carlos Henrique Marchi 7</t>
  </si>
  <si>
    <t>Caroline Dall’Agnol; Carlos Henrique Marchi; Diego Fernando Moro</t>
  </si>
  <si>
    <t>An Enhanced Hybrid Methodology for Iteration Error Estimation and Reduction in Heat Transfer Modeling</t>
  </si>
  <si>
    <t>Dall’Agnol, C., Marchi, C. H., &amp; Moro, D. F. (2024). An Enhanced Hybrid Methodology for Iteration Error Estimation and Reduction in Heat Transfer Modeling. Mathematical Modelling of Engineering Problems, 11(2), 349–366. https://doi.org/10.18280/mmep.110207</t>
  </si>
  <si>
    <t>10.18280/mmep.110207</t>
  </si>
  <si>
    <t>Carlos Henrique Marchi 8</t>
  </si>
  <si>
    <t>Carlos Henrique Marchi 9</t>
  </si>
  <si>
    <t>Foguetemodelo Félix: Uma Ferramenta para o Ensino de Ciências e Popularização da Astronáutica</t>
  </si>
  <si>
    <t>Rodolfo Sousa Ramos; Guilherme Bertoldo; Carlos Henrique Marchi</t>
  </si>
  <si>
    <t>RAMOS, R. S. ; BERTOLDO, G. ; MARCHI, C. H. . Foguetemodelo Félix: uma ferramenta para o ensino de ciências e popularização da Astronáutica. Revista de Ensino de Engenharia., v. 43, p. 1-19, 2024.</t>
  </si>
  <si>
    <t>10.37702/REE2236-0158.v43p1-19.2024</t>
  </si>
  <si>
    <t>10.1007/s40314-024-02902-4</t>
  </si>
  <si>
    <t>Luciano Kiyoshi Araki 4</t>
  </si>
  <si>
    <t>Higher-order methods for the Poisson equation obtained with geometric multigrid and completed Richardson extrapolation</t>
  </si>
  <si>
    <t>Luciano Pereira da Silva; Marcio Augusto Villela Pinto; Luciano Kiyoshi Araki </t>
  </si>
  <si>
    <t>da Silva, L. P., Pinto, M. A. V., &amp; Araki, L. K. (2024). Higher-order methods for the Poisson equation obtained with geometric multigrid and completed Richardson extrapolation. Computational and Applied Mathematics, 43(7). https://doi.org/10.1007/s40314-024-02902-4</t>
  </si>
  <si>
    <t>Marcio Augusto Villela Pinto 12</t>
  </si>
  <si>
    <t>A space-time multigrid method for poroelasticity equations with random hydraulic conductivity</t>
  </si>
  <si>
    <t>Sebastião Romero Franco; Marcio Augusto Villela Pinto</t>
  </si>
  <si>
    <t>10.1080/10407790.2023.2262746</t>
  </si>
  <si>
    <t>Franco, S. R., &amp; Pinto, M. A. V. (2023). A space-time multigrid method for poroelasticity equations with random hydraulic conductivity. Numerical Heat Transfer, Part B: Fundamentals, 85(9), 1226–1235. https://doi.org/10.1080/10407790.2023.2262746</t>
  </si>
  <si>
    <t>Marcio Augusto Villela Pinto 13</t>
  </si>
  <si>
    <t>A multigrid waveform relaxation method for solving the nonlinear silicon problem with relaxing boundary conditions</t>
  </si>
  <si>
    <t>Zen, P. D., Pinto, M. A. V., &amp; Franco, S. R. (2024). A multigrid waveform relaxation method for solving the nonlinear silicon problem with relaxing boundary conditions. Numerical Heat Transfer, Part B: Fundamentals, 1–16. https://doi.org/10.1080/10407790.2024.2351543</t>
  </si>
  <si>
    <t>Priscila Dombrovski Zen;  Marcio Augusto Villela Pinto; Sebastião Romero Franco</t>
  </si>
  <si>
    <t>10.1080/10407790.2024.2351543</t>
  </si>
  <si>
    <t>Marcio Augusto Villela Pinto 14</t>
  </si>
  <si>
    <t>Modified Picard with multigrid method for two-phase flow problems in rigid porous media</t>
  </si>
  <si>
    <t>Michely Laís de Oliveira; Marcio Augusto Villela Pinto; Carmen Rodrigo; Francisco José Gaspar</t>
  </si>
  <si>
    <t>de, L., Augusto, M., Rodrigo, C., &amp; Gaspar, F. J. (2023). Modified Picard with multigrid method for two‐phase flow problems in rigid porous media. International Journal for Numerical Methods in Engineering. https://doi.org/10.1002/nme.7397</t>
  </si>
  <si>
    <t>10.1002/nme.7397</t>
  </si>
  <si>
    <t>Marcio Augusto Villela Pinto 15</t>
  </si>
  <si>
    <t>2021 to &gt;2024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</si>
</sst>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Calibri"/>
      <family val="2"/>
      <scheme val="minor"/>
    </font>
    <font>
      <sz val="16"/>
      <name val="Calibri"/>
      <family val="2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/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/>
    <xf numFmtId="0" fontId="0" fillId="4" borderId="6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 wrapText="1"/>
    </xf>
    <xf numFmtId="0" fontId="0" fillId="5" borderId="6" xfId="0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6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0" fontId="0" fillId="0" borderId="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577102</xdr:colOff>
      <xdr:row>0</xdr:row>
      <xdr:rowOff>28014</xdr:rowOff>
    </xdr:from>
    <xdr:to>
      <xdr:col>12</xdr:col>
      <xdr:colOff>373491</xdr:colOff>
      <xdr:row>54</xdr:row>
      <xdr:rowOff>142314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77102" y="28014"/>
          <a:ext cx="7102623" cy="9796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11</xdr:col>
      <xdr:colOff>405241</xdr:colOff>
      <xdr:row>111</xdr:row>
      <xdr:rowOff>114300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10496550"/>
          <a:ext cx="711084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31" workbookViewId="0">
      <selection activeCell="P79" sqref="P79"/>
    </sheetView>
  </sheetViews>
  <sheetFormatPr defaultRowHeight="15" x14ac:dyDescent="0.25"/>
  <sheetData/>
  <pageMargins left="0.511811024" right="0.511811024" top="0.78740157500000008" bottom="0.78740157500000008" header="0.31496062000000014" footer="0.3149606200000001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0"/>
  <sheetViews>
    <sheetView tabSelected="1" zoomScale="70" workbookViewId="0">
      <selection activeCell="W16" sqref="W16"/>
    </sheetView>
  </sheetViews>
  <sheetFormatPr defaultRowHeight="15" x14ac:dyDescent="0.25"/>
  <cols>
    <col min="1" max="1" width="51.140625" customWidth="1"/>
    <col min="2" max="2" width="48" customWidth="1"/>
    <col min="3" max="3" width="8.7109375" style="1"/>
    <col min="4" max="4" width="17.28515625" style="1" customWidth="1"/>
    <col min="5" max="5" width="75.28515625" customWidth="1"/>
    <col min="6" max="6" width="46.7109375" customWidth="1"/>
    <col min="7" max="7" width="31.7109375" customWidth="1"/>
  </cols>
  <sheetData>
    <row r="1" spans="1:16" x14ac:dyDescent="0.25">
      <c r="A1" t="s">
        <v>0</v>
      </c>
      <c r="B1" s="32" t="s">
        <v>23</v>
      </c>
      <c r="D1" t="s">
        <v>1</v>
      </c>
    </row>
    <row r="2" spans="1:16" x14ac:dyDescent="0.25">
      <c r="A2" t="s">
        <v>2</v>
      </c>
      <c r="B2" s="40" t="s">
        <v>158</v>
      </c>
    </row>
    <row r="3" spans="1:16" x14ac:dyDescent="0.25">
      <c r="A3" s="2" t="s">
        <v>3</v>
      </c>
      <c r="B3" s="2"/>
      <c r="G3" s="3" t="s">
        <v>4</v>
      </c>
      <c r="H3" s="4" t="s">
        <v>5</v>
      </c>
      <c r="I3" s="4" t="s">
        <v>6</v>
      </c>
      <c r="J3" s="4" t="s">
        <v>7</v>
      </c>
      <c r="K3" s="4" t="s">
        <v>74</v>
      </c>
      <c r="L3" s="4" t="s">
        <v>8</v>
      </c>
      <c r="M3" s="4" t="s">
        <v>9</v>
      </c>
      <c r="N3" s="4" t="s">
        <v>41</v>
      </c>
      <c r="O3" s="43" t="s">
        <v>35</v>
      </c>
      <c r="P3" s="43" t="s">
        <v>114</v>
      </c>
    </row>
    <row r="4" spans="1:16" x14ac:dyDescent="0.25">
      <c r="A4" s="2" t="s">
        <v>10</v>
      </c>
      <c r="B4" s="2" t="s">
        <v>11</v>
      </c>
      <c r="G4" s="5">
        <v>0.5</v>
      </c>
      <c r="H4" s="6">
        <f>COUNT(H11:H70)</f>
        <v>8</v>
      </c>
      <c r="I4" s="6">
        <f>COUNT(I11:I70)</f>
        <v>4</v>
      </c>
      <c r="J4" s="6">
        <f>COUNT(J11:J70)</f>
        <v>3</v>
      </c>
      <c r="K4" s="6">
        <f>COUNT(K11:K70)</f>
        <v>4</v>
      </c>
      <c r="L4" s="6">
        <f>COUNT(L11:L70)</f>
        <v>1</v>
      </c>
      <c r="M4" s="6">
        <f>COUNT(M11:M70)</f>
        <v>4</v>
      </c>
      <c r="N4" s="6">
        <f>COUNT(N11:N70)</f>
        <v>2</v>
      </c>
      <c r="O4" s="6">
        <f>COUNT(O11:O70)</f>
        <v>1</v>
      </c>
      <c r="P4" s="6">
        <f>COUNT(P11:P70)</f>
        <v>1</v>
      </c>
    </row>
    <row r="5" spans="1:16" x14ac:dyDescent="0.25">
      <c r="A5" s="2" t="s">
        <v>12</v>
      </c>
      <c r="B5" s="44">
        <v>45621</v>
      </c>
    </row>
    <row r="6" spans="1:16" ht="26.25" x14ac:dyDescent="0.4">
      <c r="A6" s="2" t="s">
        <v>13</v>
      </c>
      <c r="B6" s="2"/>
      <c r="G6" s="7"/>
      <c r="H6" s="7"/>
    </row>
    <row r="7" spans="1:16" ht="21" x14ac:dyDescent="0.35">
      <c r="A7" s="2" t="s">
        <v>3</v>
      </c>
      <c r="B7" s="2"/>
      <c r="G7" s="8" t="s">
        <v>14</v>
      </c>
      <c r="H7" s="8">
        <f>SUM(H11:P40)/30</f>
        <v>0.93333333333333335</v>
      </c>
    </row>
    <row r="8" spans="1:16" x14ac:dyDescent="0.25">
      <c r="A8" t="s">
        <v>3</v>
      </c>
    </row>
    <row r="9" spans="1:16" x14ac:dyDescent="0.25">
      <c r="A9" t="s">
        <v>3</v>
      </c>
      <c r="H9" s="33" t="s">
        <v>15</v>
      </c>
      <c r="I9" s="34"/>
      <c r="J9" s="34"/>
      <c r="K9" s="34"/>
      <c r="L9" s="35"/>
    </row>
    <row r="10" spans="1:16" ht="30" x14ac:dyDescent="0.25">
      <c r="A10" s="9" t="s">
        <v>16</v>
      </c>
      <c r="B10" s="10" t="s">
        <v>17</v>
      </c>
      <c r="C10" s="11" t="s">
        <v>18</v>
      </c>
      <c r="D10" s="12" t="s">
        <v>19</v>
      </c>
      <c r="E10" s="13" t="s">
        <v>20</v>
      </c>
      <c r="F10" s="13" t="s">
        <v>21</v>
      </c>
      <c r="G10" s="11" t="s">
        <v>22</v>
      </c>
      <c r="H10" s="11" t="s">
        <v>5</v>
      </c>
      <c r="I10" s="11" t="s">
        <v>6</v>
      </c>
      <c r="J10" s="11" t="s">
        <v>7</v>
      </c>
      <c r="K10" s="41" t="s">
        <v>74</v>
      </c>
      <c r="L10" s="41" t="s">
        <v>8</v>
      </c>
      <c r="M10" s="39" t="s">
        <v>9</v>
      </c>
      <c r="N10" s="11" t="s">
        <v>41</v>
      </c>
      <c r="O10" s="11" t="s">
        <v>35</v>
      </c>
      <c r="P10" s="39" t="s">
        <v>114</v>
      </c>
    </row>
    <row r="11" spans="1:16" ht="92.25" customHeight="1" x14ac:dyDescent="0.25">
      <c r="A11" s="14" t="s">
        <v>27</v>
      </c>
      <c r="B11" s="15" t="s">
        <v>28</v>
      </c>
      <c r="C11" s="16">
        <v>2021</v>
      </c>
      <c r="D11" s="16"/>
      <c r="E11" s="17" t="s">
        <v>50</v>
      </c>
      <c r="F11" s="17" t="s">
        <v>29</v>
      </c>
      <c r="G11" s="16" t="s">
        <v>30</v>
      </c>
      <c r="H11" s="18"/>
      <c r="I11" s="19"/>
      <c r="J11" s="16">
        <v>1</v>
      </c>
      <c r="K11" s="19"/>
      <c r="L11" s="19"/>
      <c r="M11" s="19"/>
      <c r="N11" s="19"/>
      <c r="O11" s="19"/>
      <c r="P11" s="19"/>
    </row>
    <row r="12" spans="1:16" ht="92.25" customHeight="1" x14ac:dyDescent="0.25">
      <c r="A12" s="14" t="s">
        <v>27</v>
      </c>
      <c r="B12" s="15" t="s">
        <v>28</v>
      </c>
      <c r="C12" s="16">
        <v>2021</v>
      </c>
      <c r="D12" s="16"/>
      <c r="E12" s="17" t="s">
        <v>50</v>
      </c>
      <c r="F12" s="17" t="s">
        <v>29</v>
      </c>
      <c r="G12" s="16" t="s">
        <v>31</v>
      </c>
      <c r="H12" s="18"/>
      <c r="I12" s="19"/>
      <c r="J12" s="16">
        <v>1</v>
      </c>
      <c r="K12" s="19"/>
      <c r="L12" s="19"/>
      <c r="M12" s="19"/>
      <c r="N12" s="19"/>
      <c r="O12" s="19"/>
      <c r="P12" s="19"/>
    </row>
    <row r="13" spans="1:16" ht="60" x14ac:dyDescent="0.25">
      <c r="A13" s="14" t="s">
        <v>32</v>
      </c>
      <c r="B13" s="15" t="s">
        <v>33</v>
      </c>
      <c r="C13" s="16">
        <v>2021</v>
      </c>
      <c r="D13" s="16"/>
      <c r="E13" s="36" t="s">
        <v>52</v>
      </c>
      <c r="F13" s="17" t="s">
        <v>34</v>
      </c>
      <c r="G13" s="16" t="s">
        <v>36</v>
      </c>
      <c r="H13" s="18"/>
      <c r="I13" s="19"/>
      <c r="J13" s="19"/>
      <c r="K13" s="19"/>
      <c r="L13" s="19"/>
      <c r="M13" s="19"/>
      <c r="N13" s="19"/>
      <c r="O13" s="16">
        <v>1</v>
      </c>
      <c r="P13" s="19"/>
    </row>
    <row r="14" spans="1:16" ht="60" x14ac:dyDescent="0.25">
      <c r="A14" s="14" t="s">
        <v>37</v>
      </c>
      <c r="B14" s="15" t="s">
        <v>38</v>
      </c>
      <c r="C14" s="16">
        <v>2021</v>
      </c>
      <c r="D14" s="16"/>
      <c r="E14" s="17" t="s">
        <v>53</v>
      </c>
      <c r="F14" s="17" t="s">
        <v>39</v>
      </c>
      <c r="G14" s="16" t="s">
        <v>40</v>
      </c>
      <c r="H14" s="18"/>
      <c r="I14" s="19"/>
      <c r="J14" s="19"/>
      <c r="K14" s="19"/>
      <c r="L14" s="19"/>
      <c r="M14" s="18"/>
      <c r="N14" s="16">
        <v>1</v>
      </c>
      <c r="O14" s="19"/>
      <c r="P14" s="19"/>
    </row>
    <row r="15" spans="1:16" ht="45" x14ac:dyDescent="0.25">
      <c r="A15" s="15" t="s">
        <v>42</v>
      </c>
      <c r="B15" s="15" t="s">
        <v>45</v>
      </c>
      <c r="C15" s="16">
        <v>2021</v>
      </c>
      <c r="D15" s="16"/>
      <c r="E15" s="17" t="s">
        <v>54</v>
      </c>
      <c r="F15" s="17" t="s">
        <v>43</v>
      </c>
      <c r="G15" s="16" t="s">
        <v>44</v>
      </c>
      <c r="H15" s="18"/>
      <c r="I15" s="19"/>
      <c r="J15" s="19"/>
      <c r="K15" s="19"/>
      <c r="L15" s="19"/>
      <c r="M15" s="18"/>
      <c r="N15" s="16">
        <v>1</v>
      </c>
      <c r="O15" s="19"/>
      <c r="P15" s="19"/>
    </row>
    <row r="16" spans="1:16" ht="45" x14ac:dyDescent="0.25">
      <c r="A16" s="14" t="s">
        <v>46</v>
      </c>
      <c r="B16" s="15" t="s">
        <v>48</v>
      </c>
      <c r="C16" s="16">
        <v>2021</v>
      </c>
      <c r="D16" s="16"/>
      <c r="E16" s="17" t="s">
        <v>55</v>
      </c>
      <c r="F16" s="17" t="s">
        <v>47</v>
      </c>
      <c r="G16" s="16" t="s">
        <v>49</v>
      </c>
      <c r="H16" s="16">
        <v>1</v>
      </c>
      <c r="I16" s="19"/>
      <c r="J16" s="19"/>
      <c r="K16" s="19"/>
      <c r="L16" s="19"/>
      <c r="M16" s="18"/>
      <c r="N16" s="19"/>
      <c r="O16" s="19"/>
      <c r="P16" s="19"/>
    </row>
    <row r="17" spans="1:16" ht="45" x14ac:dyDescent="0.25">
      <c r="A17" s="14" t="s">
        <v>56</v>
      </c>
      <c r="B17" s="15" t="s">
        <v>59</v>
      </c>
      <c r="C17" s="16">
        <v>2022</v>
      </c>
      <c r="D17" s="16"/>
      <c r="E17" s="17" t="s">
        <v>60</v>
      </c>
      <c r="F17" s="17" t="s">
        <v>57</v>
      </c>
      <c r="G17" s="37" t="s">
        <v>58</v>
      </c>
      <c r="H17" s="16">
        <v>1</v>
      </c>
      <c r="I17" s="18"/>
      <c r="J17" s="18"/>
      <c r="K17" s="19"/>
      <c r="L17" s="19"/>
      <c r="M17" s="18"/>
      <c r="N17" s="18"/>
      <c r="O17" s="19"/>
      <c r="P17" s="19"/>
    </row>
    <row r="18" spans="1:16" ht="75" x14ac:dyDescent="0.25">
      <c r="A18" s="38" t="s">
        <v>61</v>
      </c>
      <c r="B18" s="15" t="s">
        <v>63</v>
      </c>
      <c r="C18" s="16">
        <v>2022</v>
      </c>
      <c r="D18" s="16"/>
      <c r="E18" s="17" t="s">
        <v>64</v>
      </c>
      <c r="F18" s="17" t="s">
        <v>62</v>
      </c>
      <c r="G18" s="37" t="s">
        <v>67</v>
      </c>
      <c r="H18" s="18"/>
      <c r="I18" s="20"/>
      <c r="J18" s="16"/>
      <c r="K18" s="19"/>
      <c r="L18" s="19"/>
      <c r="M18" s="16">
        <v>1</v>
      </c>
      <c r="N18" s="19"/>
      <c r="O18" s="19"/>
      <c r="P18" s="19"/>
    </row>
    <row r="19" spans="1:16" ht="75" x14ac:dyDescent="0.25">
      <c r="A19" s="38" t="s">
        <v>65</v>
      </c>
      <c r="B19" s="15" t="s">
        <v>33</v>
      </c>
      <c r="C19" s="16">
        <v>2022</v>
      </c>
      <c r="D19" s="16"/>
      <c r="E19" s="17" t="s">
        <v>121</v>
      </c>
      <c r="F19" s="17" t="s">
        <v>66</v>
      </c>
      <c r="G19" s="37" t="s">
        <v>68</v>
      </c>
      <c r="H19" s="18"/>
      <c r="I19" s="20"/>
      <c r="J19" s="20"/>
      <c r="K19" s="19"/>
      <c r="L19" s="16">
        <v>1</v>
      </c>
      <c r="M19" s="18"/>
      <c r="N19" s="19"/>
      <c r="O19" s="19"/>
      <c r="P19" s="19"/>
    </row>
    <row r="20" spans="1:16" ht="60" x14ac:dyDescent="0.25">
      <c r="A20" s="14" t="s">
        <v>69</v>
      </c>
      <c r="B20" s="15" t="s">
        <v>70</v>
      </c>
      <c r="C20" s="16">
        <v>2022</v>
      </c>
      <c r="D20" s="16"/>
      <c r="E20" s="17" t="s">
        <v>72</v>
      </c>
      <c r="F20" s="17" t="s">
        <v>71</v>
      </c>
      <c r="G20" s="37" t="s">
        <v>73</v>
      </c>
      <c r="H20" s="18"/>
      <c r="I20" s="18"/>
      <c r="J20" s="18"/>
      <c r="K20" s="16">
        <v>1</v>
      </c>
      <c r="L20" s="19"/>
      <c r="M20" s="18"/>
      <c r="N20" s="18"/>
      <c r="O20" s="19"/>
      <c r="P20" s="19"/>
    </row>
    <row r="21" spans="1:16" ht="60" x14ac:dyDescent="0.25">
      <c r="A21" s="14" t="s">
        <v>75</v>
      </c>
      <c r="B21" s="15" t="s">
        <v>76</v>
      </c>
      <c r="C21" s="16">
        <v>2022</v>
      </c>
      <c r="D21" s="16"/>
      <c r="E21" s="17" t="s">
        <v>79</v>
      </c>
      <c r="F21" s="17" t="s">
        <v>77</v>
      </c>
      <c r="G21" s="37" t="s">
        <v>78</v>
      </c>
      <c r="H21" s="18"/>
      <c r="I21" s="18"/>
      <c r="J21" s="19"/>
      <c r="K21" s="16">
        <v>1</v>
      </c>
      <c r="L21" s="19"/>
      <c r="M21" s="18"/>
      <c r="N21" s="19"/>
      <c r="O21" s="19"/>
      <c r="P21" s="19"/>
    </row>
    <row r="22" spans="1:16" ht="60" x14ac:dyDescent="0.25">
      <c r="A22" s="14" t="s">
        <v>80</v>
      </c>
      <c r="B22" s="15" t="s">
        <v>81</v>
      </c>
      <c r="C22" s="16">
        <v>2022</v>
      </c>
      <c r="D22" s="16"/>
      <c r="E22" s="17" t="s">
        <v>84</v>
      </c>
      <c r="F22" s="36" t="s">
        <v>83</v>
      </c>
      <c r="G22" s="37" t="s">
        <v>82</v>
      </c>
      <c r="H22" s="18"/>
      <c r="I22" s="18"/>
      <c r="J22" s="18"/>
      <c r="K22" s="19"/>
      <c r="L22" s="19"/>
      <c r="M22" s="16">
        <v>1</v>
      </c>
      <c r="N22" s="18"/>
      <c r="O22" s="19"/>
      <c r="P22" s="19"/>
    </row>
    <row r="23" spans="1:16" ht="60" x14ac:dyDescent="0.25">
      <c r="A23" s="14" t="s">
        <v>85</v>
      </c>
      <c r="B23" s="15" t="s">
        <v>88</v>
      </c>
      <c r="C23" s="16">
        <v>2022</v>
      </c>
      <c r="D23" s="16"/>
      <c r="E23" s="17" t="s">
        <v>89</v>
      </c>
      <c r="F23" s="17" t="s">
        <v>86</v>
      </c>
      <c r="G23" s="37" t="s">
        <v>87</v>
      </c>
      <c r="H23" s="16">
        <v>1</v>
      </c>
      <c r="I23" s="19"/>
      <c r="J23" s="18"/>
      <c r="K23" s="19"/>
      <c r="L23" s="19"/>
      <c r="M23" s="18"/>
      <c r="N23" s="19"/>
      <c r="O23" s="19"/>
      <c r="P23" s="19"/>
    </row>
    <row r="24" spans="1:16" ht="60" x14ac:dyDescent="0.25">
      <c r="A24" s="14" t="s">
        <v>24</v>
      </c>
      <c r="B24" s="15" t="s">
        <v>25</v>
      </c>
      <c r="C24" s="16">
        <v>2023</v>
      </c>
      <c r="D24" s="16"/>
      <c r="E24" s="17" t="s">
        <v>120</v>
      </c>
      <c r="F24" s="17" t="s">
        <v>26</v>
      </c>
      <c r="G24" s="37" t="s">
        <v>90</v>
      </c>
      <c r="H24" s="16">
        <v>1</v>
      </c>
      <c r="I24" s="18"/>
      <c r="J24" s="18"/>
      <c r="K24" s="19"/>
      <c r="L24" s="19"/>
      <c r="M24" s="18"/>
      <c r="N24" s="18"/>
      <c r="O24" s="19"/>
      <c r="P24" s="19"/>
    </row>
    <row r="25" spans="1:16" ht="60" x14ac:dyDescent="0.25">
      <c r="A25" s="14" t="s">
        <v>91</v>
      </c>
      <c r="B25" s="15" t="s">
        <v>94</v>
      </c>
      <c r="C25" s="16">
        <v>2023</v>
      </c>
      <c r="D25" s="16"/>
      <c r="E25" s="17" t="s">
        <v>100</v>
      </c>
      <c r="F25" s="17" t="s">
        <v>92</v>
      </c>
      <c r="G25" s="37" t="s">
        <v>93</v>
      </c>
      <c r="H25" s="18"/>
      <c r="I25" s="16">
        <v>1</v>
      </c>
      <c r="J25" s="18"/>
      <c r="K25" s="19"/>
      <c r="L25" s="19"/>
      <c r="M25" s="18"/>
      <c r="N25" s="18"/>
      <c r="O25" s="19"/>
      <c r="P25" s="19"/>
    </row>
    <row r="26" spans="1:16" ht="75" x14ac:dyDescent="0.25">
      <c r="A26" s="14" t="s">
        <v>98</v>
      </c>
      <c r="B26" s="15" t="s">
        <v>97</v>
      </c>
      <c r="C26" s="16">
        <v>2023</v>
      </c>
      <c r="D26" s="16"/>
      <c r="E26" s="17" t="s">
        <v>99</v>
      </c>
      <c r="F26" s="17" t="s">
        <v>95</v>
      </c>
      <c r="G26" s="37" t="s">
        <v>96</v>
      </c>
      <c r="H26" s="18"/>
      <c r="I26" s="18"/>
      <c r="J26" s="18"/>
      <c r="K26" s="19"/>
      <c r="L26" s="19"/>
      <c r="M26" s="16">
        <v>1</v>
      </c>
      <c r="N26" s="18"/>
      <c r="O26" s="19"/>
      <c r="P26" s="19"/>
    </row>
    <row r="27" spans="1:16" ht="60" x14ac:dyDescent="0.25">
      <c r="A27" s="14" t="s">
        <v>101</v>
      </c>
      <c r="B27" s="15" t="s">
        <v>103</v>
      </c>
      <c r="C27" s="16">
        <v>2023</v>
      </c>
      <c r="D27" s="16"/>
      <c r="E27" s="17" t="s">
        <v>104</v>
      </c>
      <c r="F27" s="17" t="s">
        <v>102</v>
      </c>
      <c r="G27" s="37" t="s">
        <v>105</v>
      </c>
      <c r="H27" s="16">
        <v>1</v>
      </c>
      <c r="I27" s="18"/>
      <c r="J27" s="18"/>
      <c r="K27" s="19"/>
      <c r="L27" s="19"/>
      <c r="M27" s="18"/>
      <c r="N27" s="18"/>
      <c r="O27" s="19"/>
      <c r="P27" s="19"/>
    </row>
    <row r="28" spans="1:16" ht="45" x14ac:dyDescent="0.25">
      <c r="A28" s="14" t="s">
        <v>106</v>
      </c>
      <c r="B28" s="15" t="s">
        <v>48</v>
      </c>
      <c r="C28" s="16">
        <v>2023</v>
      </c>
      <c r="D28" s="16"/>
      <c r="E28" s="17" t="s">
        <v>109</v>
      </c>
      <c r="F28" s="17" t="s">
        <v>107</v>
      </c>
      <c r="G28" s="37" t="s">
        <v>108</v>
      </c>
      <c r="H28" s="16">
        <v>1</v>
      </c>
      <c r="I28" s="18"/>
      <c r="J28" s="18"/>
      <c r="K28" s="19"/>
      <c r="L28" s="19"/>
      <c r="M28" s="18"/>
      <c r="N28" s="18"/>
      <c r="O28" s="19"/>
      <c r="P28" s="19"/>
    </row>
    <row r="29" spans="1:16" ht="60" x14ac:dyDescent="0.25">
      <c r="A29" s="14" t="s">
        <v>110</v>
      </c>
      <c r="B29" s="15" t="s">
        <v>59</v>
      </c>
      <c r="C29" s="16">
        <v>2023</v>
      </c>
      <c r="D29" s="16"/>
      <c r="E29" s="17" t="s">
        <v>113</v>
      </c>
      <c r="F29" s="17" t="s">
        <v>111</v>
      </c>
      <c r="G29" s="37" t="s">
        <v>112</v>
      </c>
      <c r="H29" s="18"/>
      <c r="I29" s="18"/>
      <c r="J29" s="18"/>
      <c r="K29" s="19"/>
      <c r="L29" s="19"/>
      <c r="M29" s="18"/>
      <c r="N29" s="18"/>
      <c r="O29" s="19"/>
      <c r="P29" s="16">
        <v>1</v>
      </c>
    </row>
    <row r="30" spans="1:16" ht="60" x14ac:dyDescent="0.25">
      <c r="A30" s="14" t="s">
        <v>115</v>
      </c>
      <c r="B30" s="15" t="s">
        <v>116</v>
      </c>
      <c r="C30" s="16">
        <v>2023</v>
      </c>
      <c r="D30" s="16"/>
      <c r="E30" s="17" t="s">
        <v>119</v>
      </c>
      <c r="F30" s="17" t="s">
        <v>117</v>
      </c>
      <c r="G30" s="37" t="s">
        <v>118</v>
      </c>
      <c r="H30" s="18"/>
      <c r="I30" s="16">
        <v>1</v>
      </c>
      <c r="J30" s="18"/>
      <c r="K30" s="19"/>
      <c r="L30" s="19"/>
      <c r="M30" s="18"/>
      <c r="N30" s="18"/>
      <c r="O30" s="19"/>
      <c r="P30" s="19"/>
    </row>
    <row r="31" spans="1:16" ht="60" x14ac:dyDescent="0.25">
      <c r="A31" s="14" t="s">
        <v>122</v>
      </c>
      <c r="B31" s="42" t="s">
        <v>123</v>
      </c>
      <c r="C31" s="16">
        <v>2024</v>
      </c>
      <c r="D31" s="16"/>
      <c r="E31" s="17" t="s">
        <v>124</v>
      </c>
      <c r="F31" s="17" t="s">
        <v>125</v>
      </c>
      <c r="G31" s="37" t="s">
        <v>126</v>
      </c>
      <c r="H31" s="16">
        <v>1</v>
      </c>
      <c r="I31" s="20"/>
      <c r="J31" s="18"/>
      <c r="K31" s="19"/>
      <c r="L31" s="19"/>
      <c r="M31" s="18"/>
      <c r="N31" s="20"/>
      <c r="O31" s="19"/>
      <c r="P31" s="19"/>
    </row>
    <row r="32" spans="1:16" ht="60" x14ac:dyDescent="0.25">
      <c r="A32" s="14" t="s">
        <v>128</v>
      </c>
      <c r="B32" s="42" t="s">
        <v>127</v>
      </c>
      <c r="C32" s="16">
        <v>2024</v>
      </c>
      <c r="D32" s="16"/>
      <c r="E32" s="17" t="s">
        <v>129</v>
      </c>
      <c r="F32" s="17" t="s">
        <v>130</v>
      </c>
      <c r="G32" s="37" t="s">
        <v>131</v>
      </c>
      <c r="H32" s="18"/>
      <c r="I32" s="18"/>
      <c r="J32" s="16">
        <v>1</v>
      </c>
      <c r="K32" s="19"/>
      <c r="L32" s="19"/>
      <c r="M32" s="18"/>
      <c r="N32" s="18"/>
      <c r="O32" s="19"/>
      <c r="P32" s="19"/>
    </row>
    <row r="33" spans="1:16" ht="45" x14ac:dyDescent="0.25">
      <c r="A33" s="38" t="s">
        <v>133</v>
      </c>
      <c r="B33" s="42" t="s">
        <v>134</v>
      </c>
      <c r="C33" s="16">
        <v>2024</v>
      </c>
      <c r="D33" s="16"/>
      <c r="E33" s="36" t="s">
        <v>135</v>
      </c>
      <c r="F33" s="17" t="s">
        <v>136</v>
      </c>
      <c r="G33" s="37" t="s">
        <v>132</v>
      </c>
      <c r="H33" s="18"/>
      <c r="I33" s="18"/>
      <c r="J33" s="18"/>
      <c r="K33" s="19"/>
      <c r="L33" s="19"/>
      <c r="M33" s="16">
        <v>1</v>
      </c>
      <c r="N33" s="18"/>
      <c r="O33" s="19"/>
      <c r="P33" s="19"/>
    </row>
    <row r="34" spans="1:16" ht="60" x14ac:dyDescent="0.25">
      <c r="A34" s="38" t="s">
        <v>139</v>
      </c>
      <c r="B34" s="42" t="s">
        <v>140</v>
      </c>
      <c r="C34" s="16">
        <v>2024</v>
      </c>
      <c r="D34" s="16"/>
      <c r="E34" s="17" t="s">
        <v>141</v>
      </c>
      <c r="F34" s="17" t="s">
        <v>137</v>
      </c>
      <c r="G34" s="37" t="s">
        <v>138</v>
      </c>
      <c r="H34" s="18"/>
      <c r="I34" s="18"/>
      <c r="J34" s="18"/>
      <c r="K34" s="16">
        <v>1</v>
      </c>
      <c r="L34" s="19"/>
      <c r="M34" s="18"/>
      <c r="N34" s="18"/>
      <c r="O34" s="19"/>
      <c r="P34" s="19"/>
    </row>
    <row r="35" spans="1:16" ht="60" x14ac:dyDescent="0.25">
      <c r="A35" s="38" t="s">
        <v>139</v>
      </c>
      <c r="B35" s="42" t="s">
        <v>140</v>
      </c>
      <c r="C35" s="16">
        <v>2024</v>
      </c>
      <c r="D35" s="16"/>
      <c r="E35" s="17" t="s">
        <v>141</v>
      </c>
      <c r="F35" s="17" t="s">
        <v>137</v>
      </c>
      <c r="G35" s="37" t="s">
        <v>142</v>
      </c>
      <c r="H35" s="18"/>
      <c r="I35" s="18"/>
      <c r="J35" s="18"/>
      <c r="K35" s="16">
        <v>1</v>
      </c>
      <c r="L35" s="19"/>
      <c r="M35" s="18"/>
      <c r="N35" s="18"/>
      <c r="O35" s="19"/>
      <c r="P35" s="19"/>
    </row>
    <row r="36" spans="1:16" ht="60" x14ac:dyDescent="0.25">
      <c r="A36" s="14" t="s">
        <v>143</v>
      </c>
      <c r="B36" s="42" t="s">
        <v>144</v>
      </c>
      <c r="C36" s="16">
        <v>2024</v>
      </c>
      <c r="D36" s="16"/>
      <c r="E36" s="17" t="s">
        <v>146</v>
      </c>
      <c r="F36" s="17" t="s">
        <v>145</v>
      </c>
      <c r="G36" s="37" t="s">
        <v>147</v>
      </c>
      <c r="H36" s="18"/>
      <c r="I36" s="16">
        <v>1</v>
      </c>
      <c r="J36" s="18"/>
      <c r="K36" s="19"/>
      <c r="L36" s="19"/>
      <c r="M36" s="18"/>
      <c r="N36" s="18"/>
      <c r="O36" s="19"/>
      <c r="P36" s="19"/>
    </row>
    <row r="37" spans="1:16" ht="60" x14ac:dyDescent="0.25">
      <c r="A37" s="14" t="s">
        <v>148</v>
      </c>
      <c r="B37" s="42" t="s">
        <v>150</v>
      </c>
      <c r="C37" s="16">
        <v>2024</v>
      </c>
      <c r="D37" s="16"/>
      <c r="E37" s="17" t="s">
        <v>149</v>
      </c>
      <c r="F37" s="17" t="s">
        <v>151</v>
      </c>
      <c r="G37" s="37" t="s">
        <v>152</v>
      </c>
      <c r="H37" s="18"/>
      <c r="I37" s="16">
        <v>1</v>
      </c>
      <c r="J37" s="18"/>
      <c r="K37" s="19"/>
      <c r="L37" s="19"/>
      <c r="M37" s="18"/>
      <c r="N37" s="18"/>
      <c r="O37" s="19"/>
      <c r="P37" s="19"/>
    </row>
    <row r="38" spans="1:16" ht="60" x14ac:dyDescent="0.25">
      <c r="A38" s="14" t="s">
        <v>153</v>
      </c>
      <c r="B38" s="42" t="s">
        <v>154</v>
      </c>
      <c r="C38" s="16">
        <v>2024</v>
      </c>
      <c r="D38" s="16"/>
      <c r="E38" s="17" t="s">
        <v>155</v>
      </c>
      <c r="F38" s="17" t="s">
        <v>156</v>
      </c>
      <c r="G38" s="37" t="s">
        <v>157</v>
      </c>
      <c r="H38" s="16">
        <v>1</v>
      </c>
      <c r="I38" s="18"/>
      <c r="J38" s="18"/>
      <c r="K38" s="19"/>
      <c r="L38" s="19"/>
      <c r="M38" s="18"/>
      <c r="N38" s="18"/>
      <c r="O38" s="19"/>
      <c r="P38" s="19"/>
    </row>
    <row r="39" spans="1:16" x14ac:dyDescent="0.25">
      <c r="A39" s="14"/>
      <c r="B39" s="15"/>
      <c r="C39" s="16"/>
      <c r="D39" s="16"/>
      <c r="E39" s="17"/>
      <c r="F39" s="17"/>
      <c r="G39" s="16"/>
      <c r="H39" s="18"/>
      <c r="I39" s="19"/>
      <c r="J39" s="18"/>
      <c r="K39" s="19"/>
      <c r="L39" s="19"/>
      <c r="M39" s="18"/>
      <c r="N39" s="18"/>
      <c r="O39" s="19"/>
      <c r="P39" s="19"/>
    </row>
    <row r="40" spans="1:16" s="21" customFormat="1" x14ac:dyDescent="0.25">
      <c r="A40" s="14"/>
      <c r="B40" s="15"/>
      <c r="C40" s="16"/>
      <c r="D40" s="16"/>
      <c r="E40" s="17" t="s">
        <v>51</v>
      </c>
      <c r="F40" s="17"/>
      <c r="G40" s="16"/>
      <c r="H40" s="18"/>
      <c r="I40" s="19"/>
      <c r="J40" s="19"/>
      <c r="K40" s="19"/>
      <c r="L40" s="19"/>
      <c r="M40" s="19"/>
      <c r="N40" s="19"/>
      <c r="O40" s="19"/>
      <c r="P40" s="19"/>
    </row>
    <row r="41" spans="1:16" x14ac:dyDescent="0.25">
      <c r="A41" s="22"/>
      <c r="B41" s="23"/>
      <c r="C41" s="24"/>
      <c r="D41" s="24"/>
      <c r="E41" s="25"/>
      <c r="F41" s="25"/>
      <c r="G41" s="24"/>
      <c r="H41" s="26"/>
      <c r="I41" s="26"/>
      <c r="J41" s="26"/>
      <c r="K41" s="26"/>
      <c r="L41" s="26"/>
      <c r="M41" s="26"/>
      <c r="N41" s="26"/>
      <c r="O41" s="26"/>
      <c r="P41" s="26"/>
    </row>
    <row r="42" spans="1:16" x14ac:dyDescent="0.25">
      <c r="A42" s="22"/>
      <c r="B42" s="23"/>
      <c r="C42" s="24"/>
      <c r="D42" s="24"/>
      <c r="E42" s="25"/>
      <c r="F42" s="25"/>
      <c r="G42" s="24"/>
      <c r="H42" s="26"/>
      <c r="I42" s="26"/>
      <c r="J42" s="26"/>
      <c r="K42" s="26"/>
      <c r="L42" s="26"/>
      <c r="M42" s="26"/>
      <c r="N42" s="26"/>
      <c r="O42" s="26"/>
      <c r="P42" s="26"/>
    </row>
    <row r="43" spans="1:16" x14ac:dyDescent="0.25">
      <c r="A43" s="22"/>
      <c r="B43" s="23"/>
      <c r="C43" s="24"/>
      <c r="D43" s="24"/>
      <c r="E43" s="25"/>
      <c r="F43" s="25"/>
      <c r="G43" s="24"/>
      <c r="H43" s="26"/>
      <c r="I43" s="26"/>
      <c r="J43" s="26"/>
      <c r="K43" s="26"/>
      <c r="L43" s="26"/>
      <c r="M43" s="26"/>
      <c r="N43" s="26"/>
      <c r="O43" s="26"/>
      <c r="P43" s="26"/>
    </row>
    <row r="44" spans="1:16" x14ac:dyDescent="0.25">
      <c r="A44" s="22"/>
      <c r="B44" s="23"/>
      <c r="C44" s="24"/>
      <c r="D44" s="24"/>
      <c r="E44" s="25"/>
      <c r="F44" s="25"/>
      <c r="G44" s="24"/>
      <c r="H44" s="26"/>
      <c r="I44" s="26"/>
      <c r="J44" s="26"/>
      <c r="K44" s="26"/>
      <c r="L44" s="26"/>
      <c r="M44" s="26"/>
      <c r="N44" s="26"/>
      <c r="O44" s="26"/>
      <c r="P44" s="26"/>
    </row>
    <row r="45" spans="1:16" x14ac:dyDescent="0.25">
      <c r="A45" s="22"/>
      <c r="B45" s="23"/>
      <c r="C45" s="24"/>
      <c r="D45" s="24"/>
      <c r="E45" s="25"/>
      <c r="F45" s="25"/>
      <c r="G45" s="24"/>
      <c r="H45" s="26"/>
      <c r="I45" s="26"/>
      <c r="J45" s="26"/>
      <c r="K45" s="26"/>
      <c r="L45" s="26"/>
      <c r="M45" s="26"/>
      <c r="N45" s="26"/>
      <c r="O45" s="26"/>
      <c r="P45" s="26"/>
    </row>
    <row r="46" spans="1:16" x14ac:dyDescent="0.25">
      <c r="A46" s="22"/>
      <c r="B46" s="23"/>
      <c r="C46" s="24"/>
      <c r="D46" s="24"/>
      <c r="E46" s="25"/>
      <c r="F46" s="25"/>
      <c r="G46" s="24"/>
      <c r="H46" s="26"/>
      <c r="I46" s="26"/>
      <c r="J46" s="26"/>
      <c r="K46" s="26"/>
      <c r="L46" s="26"/>
      <c r="M46" s="26"/>
      <c r="N46" s="26"/>
      <c r="O46" s="26"/>
      <c r="P46" s="26"/>
    </row>
    <row r="47" spans="1:16" x14ac:dyDescent="0.25">
      <c r="A47" s="22"/>
      <c r="B47" s="23"/>
      <c r="C47" s="24"/>
      <c r="D47" s="24"/>
      <c r="E47" s="25"/>
      <c r="F47" s="25"/>
      <c r="G47" s="24"/>
      <c r="H47" s="26"/>
      <c r="I47" s="26"/>
      <c r="J47" s="26"/>
      <c r="K47" s="26"/>
      <c r="L47" s="26"/>
      <c r="M47" s="26"/>
      <c r="N47" s="26"/>
      <c r="O47" s="26"/>
      <c r="P47" s="26"/>
    </row>
    <row r="48" spans="1:16" x14ac:dyDescent="0.25">
      <c r="A48" s="22"/>
      <c r="B48" s="23"/>
      <c r="C48" s="24"/>
      <c r="D48" s="24"/>
      <c r="E48" s="25"/>
      <c r="F48" s="25"/>
      <c r="G48" s="24"/>
      <c r="H48" s="26"/>
      <c r="I48" s="26"/>
      <c r="J48" s="26"/>
      <c r="K48" s="26"/>
      <c r="L48" s="26"/>
      <c r="M48" s="26"/>
      <c r="N48" s="26"/>
      <c r="O48" s="26"/>
      <c r="P48" s="26"/>
    </row>
    <row r="49" spans="1:16" x14ac:dyDescent="0.25">
      <c r="A49" s="22"/>
      <c r="B49" s="23"/>
      <c r="C49" s="24"/>
      <c r="D49" s="24"/>
      <c r="E49" s="25"/>
      <c r="F49" s="25"/>
      <c r="G49" s="24"/>
      <c r="H49" s="26"/>
      <c r="I49" s="26"/>
      <c r="J49" s="26"/>
      <c r="K49" s="26"/>
      <c r="L49" s="26"/>
      <c r="M49" s="26"/>
      <c r="N49" s="26"/>
      <c r="O49" s="26"/>
      <c r="P49" s="26"/>
    </row>
    <row r="50" spans="1:16" x14ac:dyDescent="0.25">
      <c r="A50" s="22"/>
      <c r="B50" s="23"/>
      <c r="C50" s="24"/>
      <c r="D50" s="24"/>
      <c r="E50" s="25"/>
      <c r="F50" s="25"/>
      <c r="G50" s="24"/>
      <c r="H50" s="26"/>
      <c r="I50" s="26"/>
      <c r="J50" s="26"/>
      <c r="K50" s="26"/>
      <c r="L50" s="26"/>
      <c r="M50" s="26"/>
      <c r="N50" s="26"/>
      <c r="O50" s="26"/>
      <c r="P50" s="26"/>
    </row>
    <row r="51" spans="1:16" x14ac:dyDescent="0.25">
      <c r="A51" s="22"/>
      <c r="B51" s="23"/>
      <c r="C51" s="24"/>
      <c r="D51" s="24"/>
      <c r="E51" s="25"/>
      <c r="F51" s="25"/>
      <c r="G51" s="24"/>
      <c r="H51" s="26"/>
      <c r="I51" s="26"/>
      <c r="J51" s="26"/>
      <c r="K51" s="26"/>
      <c r="L51" s="26"/>
      <c r="M51" s="26"/>
      <c r="N51" s="26"/>
      <c r="O51" s="26"/>
      <c r="P51" s="26"/>
    </row>
    <row r="52" spans="1:16" x14ac:dyDescent="0.25">
      <c r="A52" s="22"/>
      <c r="B52" s="23"/>
      <c r="C52" s="24"/>
      <c r="D52" s="24"/>
      <c r="E52" s="25"/>
      <c r="F52" s="25"/>
      <c r="G52" s="24"/>
      <c r="H52" s="26"/>
      <c r="I52" s="26"/>
      <c r="J52" s="26"/>
      <c r="K52" s="26"/>
      <c r="L52" s="26"/>
      <c r="M52" s="26"/>
      <c r="N52" s="26"/>
      <c r="O52" s="26"/>
      <c r="P52" s="26"/>
    </row>
    <row r="53" spans="1:16" x14ac:dyDescent="0.25">
      <c r="A53" s="22"/>
      <c r="B53" s="23"/>
      <c r="C53" s="24"/>
      <c r="D53" s="24"/>
      <c r="E53" s="25"/>
      <c r="F53" s="25"/>
      <c r="G53" s="24"/>
      <c r="H53" s="26"/>
      <c r="I53" s="26"/>
      <c r="J53" s="26"/>
      <c r="K53" s="26"/>
      <c r="L53" s="26"/>
      <c r="M53" s="26"/>
      <c r="N53" s="26"/>
      <c r="O53" s="26"/>
      <c r="P53" s="26"/>
    </row>
    <row r="54" spans="1:16" x14ac:dyDescent="0.25">
      <c r="A54" s="22"/>
      <c r="B54" s="23"/>
      <c r="C54" s="24"/>
      <c r="D54" s="24"/>
      <c r="E54" s="25"/>
      <c r="F54" s="25"/>
      <c r="G54" s="24"/>
      <c r="H54" s="26"/>
      <c r="I54" s="26"/>
      <c r="J54" s="26"/>
      <c r="K54" s="26"/>
      <c r="L54" s="26"/>
      <c r="M54" s="26"/>
      <c r="N54" s="26"/>
      <c r="O54" s="26"/>
      <c r="P54" s="26"/>
    </row>
    <row r="55" spans="1:16" x14ac:dyDescent="0.25">
      <c r="A55" s="22"/>
      <c r="B55" s="23"/>
      <c r="C55" s="24"/>
      <c r="D55" s="24"/>
      <c r="E55" s="25"/>
      <c r="F55" s="27"/>
      <c r="G55" s="24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25">
      <c r="A56" s="22"/>
      <c r="B56" s="23"/>
      <c r="C56" s="24"/>
      <c r="D56" s="24"/>
      <c r="E56" s="25"/>
      <c r="F56" s="25"/>
      <c r="G56" s="24"/>
      <c r="H56" s="26"/>
      <c r="I56" s="26"/>
      <c r="J56" s="26"/>
      <c r="K56" s="26"/>
      <c r="L56" s="26"/>
      <c r="M56" s="26"/>
      <c r="N56" s="26"/>
      <c r="O56" s="26"/>
      <c r="P56" s="26"/>
    </row>
    <row r="57" spans="1:16" x14ac:dyDescent="0.25">
      <c r="A57" s="22"/>
      <c r="B57" s="23"/>
      <c r="C57" s="24"/>
      <c r="D57" s="24"/>
      <c r="E57" s="25"/>
      <c r="F57" s="27"/>
      <c r="G57" s="24"/>
      <c r="H57" s="26"/>
      <c r="I57" s="26"/>
      <c r="J57" s="26"/>
      <c r="K57" s="26"/>
      <c r="L57" s="26"/>
      <c r="M57" s="26"/>
      <c r="N57" s="26"/>
      <c r="O57" s="26"/>
      <c r="P57" s="26"/>
    </row>
    <row r="58" spans="1:16" x14ac:dyDescent="0.25">
      <c r="A58" s="22"/>
      <c r="B58" s="23"/>
      <c r="C58" s="24"/>
      <c r="D58" s="24"/>
      <c r="E58" s="25"/>
      <c r="F58" s="27"/>
      <c r="G58" s="24"/>
      <c r="H58" s="26"/>
      <c r="I58" s="26"/>
      <c r="J58" s="26"/>
      <c r="K58" s="26"/>
      <c r="L58" s="26"/>
      <c r="M58" s="26"/>
      <c r="N58" s="26"/>
      <c r="O58" s="26"/>
      <c r="P58" s="26"/>
    </row>
    <row r="59" spans="1:16" x14ac:dyDescent="0.25">
      <c r="A59" s="22"/>
      <c r="B59" s="23"/>
      <c r="C59" s="24"/>
      <c r="D59" s="24"/>
      <c r="E59" s="25"/>
      <c r="F59" s="27"/>
      <c r="G59" s="24"/>
      <c r="H59" s="26"/>
      <c r="I59" s="26"/>
      <c r="J59" s="26"/>
      <c r="K59" s="26"/>
      <c r="L59" s="26"/>
      <c r="M59" s="26"/>
      <c r="N59" s="26"/>
      <c r="O59" s="26"/>
      <c r="P59" s="26"/>
    </row>
    <row r="60" spans="1:16" x14ac:dyDescent="0.25">
      <c r="A60" s="23"/>
      <c r="B60" s="25"/>
      <c r="C60" s="28"/>
      <c r="D60" s="28"/>
      <c r="E60" s="29"/>
      <c r="F60" s="29"/>
      <c r="G60" s="24"/>
      <c r="H60" s="29"/>
      <c r="I60" s="29"/>
      <c r="J60" s="26"/>
      <c r="K60" s="26"/>
      <c r="L60" s="26"/>
      <c r="M60" s="29"/>
      <c r="N60" s="26"/>
      <c r="O60" s="26"/>
      <c r="P60" s="26"/>
    </row>
    <row r="61" spans="1:16" x14ac:dyDescent="0.25">
      <c r="A61" s="22"/>
      <c r="B61" s="23"/>
      <c r="C61" s="24"/>
      <c r="D61" s="24"/>
      <c r="E61" s="25"/>
      <c r="F61" s="25"/>
      <c r="G61" s="24"/>
      <c r="H61" s="26"/>
      <c r="I61" s="26"/>
      <c r="J61" s="26"/>
      <c r="K61" s="26"/>
      <c r="L61" s="26"/>
      <c r="M61" s="26"/>
      <c r="N61" s="26"/>
      <c r="O61" s="26"/>
      <c r="P61" s="26"/>
    </row>
    <row r="62" spans="1:16" x14ac:dyDescent="0.25">
      <c r="A62" s="30"/>
      <c r="B62" s="31"/>
      <c r="C62" s="24"/>
      <c r="D62" s="24"/>
      <c r="E62" s="25"/>
      <c r="F62" s="25"/>
      <c r="G62" s="24"/>
      <c r="H62" s="26"/>
      <c r="I62" s="26"/>
      <c r="J62" s="26"/>
      <c r="K62" s="26"/>
      <c r="L62" s="26"/>
      <c r="M62" s="26"/>
      <c r="N62" s="26"/>
      <c r="O62" s="26"/>
      <c r="P62" s="26"/>
    </row>
    <row r="63" spans="1:16" x14ac:dyDescent="0.25">
      <c r="A63" s="25"/>
      <c r="B63" s="25"/>
      <c r="C63" s="24"/>
      <c r="D63" s="24"/>
      <c r="E63" s="25"/>
      <c r="F63" s="24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 x14ac:dyDescent="0.25">
      <c r="A64" s="25"/>
      <c r="B64" s="25"/>
      <c r="C64" s="24"/>
      <c r="D64" s="24"/>
      <c r="E64" s="25"/>
      <c r="F64" s="24"/>
      <c r="G64" s="26"/>
      <c r="H64" s="29"/>
      <c r="I64" s="29"/>
      <c r="J64" s="26"/>
      <c r="K64" s="26"/>
      <c r="L64" s="26"/>
      <c r="M64" s="29"/>
      <c r="N64" s="26"/>
      <c r="O64" s="26"/>
      <c r="P64" s="26"/>
    </row>
    <row r="65" spans="1:16" x14ac:dyDescent="0.25">
      <c r="A65" s="25"/>
      <c r="B65" s="25"/>
      <c r="C65" s="24"/>
      <c r="D65" s="24"/>
      <c r="E65" s="25"/>
      <c r="F65" s="24"/>
      <c r="G65" s="26"/>
      <c r="H65" s="29"/>
      <c r="I65" s="29"/>
      <c r="J65" s="26"/>
      <c r="K65" s="26"/>
      <c r="L65" s="26"/>
      <c r="M65" s="29"/>
      <c r="N65" s="26"/>
      <c r="O65" s="26"/>
      <c r="P65" s="26"/>
    </row>
    <row r="66" spans="1:16" x14ac:dyDescent="0.25">
      <c r="A66" s="29"/>
      <c r="B66" s="29"/>
      <c r="C66" s="28"/>
      <c r="D66" s="28"/>
      <c r="E66" s="29"/>
      <c r="F66" s="29"/>
      <c r="G66" s="26"/>
      <c r="H66" s="29"/>
      <c r="I66" s="29"/>
      <c r="J66" s="26"/>
      <c r="K66" s="26"/>
      <c r="L66" s="26"/>
      <c r="M66" s="29"/>
      <c r="N66" s="26"/>
      <c r="O66" s="26"/>
      <c r="P66" s="26"/>
    </row>
    <row r="67" spans="1:16" x14ac:dyDescent="0.25">
      <c r="A67" s="29"/>
      <c r="B67" s="29"/>
      <c r="C67" s="28"/>
      <c r="D67" s="28"/>
      <c r="E67" s="29"/>
      <c r="F67" s="29"/>
      <c r="G67" s="26"/>
      <c r="H67" s="29"/>
      <c r="I67" s="29"/>
      <c r="J67" s="26"/>
      <c r="K67" s="26"/>
      <c r="L67" s="26"/>
      <c r="M67" s="29"/>
      <c r="N67" s="26"/>
      <c r="O67" s="26"/>
      <c r="P67" s="26"/>
    </row>
    <row r="68" spans="1:16" x14ac:dyDescent="0.25">
      <c r="A68" s="29"/>
      <c r="B68" s="29"/>
      <c r="C68" s="28"/>
      <c r="D68" s="28"/>
      <c r="E68" s="29"/>
      <c r="F68" s="29"/>
      <c r="G68" s="26"/>
      <c r="H68" s="29"/>
      <c r="I68" s="29"/>
      <c r="J68" s="26"/>
      <c r="K68" s="26"/>
      <c r="L68" s="26"/>
      <c r="M68" s="29"/>
      <c r="N68" s="26"/>
      <c r="O68" s="26"/>
      <c r="P68" s="26"/>
    </row>
    <row r="69" spans="1:16" x14ac:dyDescent="0.25">
      <c r="A69" s="29"/>
      <c r="B69" s="29"/>
      <c r="C69" s="28"/>
      <c r="D69" s="28"/>
      <c r="E69" s="29"/>
      <c r="F69" s="29"/>
      <c r="G69" s="26"/>
      <c r="H69" s="29"/>
      <c r="I69" s="29"/>
      <c r="J69" s="26"/>
      <c r="K69" s="26"/>
      <c r="L69" s="26"/>
      <c r="M69" s="29"/>
      <c r="N69" s="26"/>
      <c r="O69" s="26"/>
      <c r="P69" s="26"/>
    </row>
    <row r="70" spans="1:16" x14ac:dyDescent="0.25">
      <c r="A70" s="29"/>
      <c r="B70" s="29"/>
      <c r="C70" s="28"/>
      <c r="D70" s="28"/>
      <c r="E70" s="29"/>
      <c r="F70" s="29"/>
      <c r="G70" s="26"/>
      <c r="H70" s="29"/>
      <c r="I70" s="29"/>
      <c r="J70" s="26"/>
      <c r="K70" s="26"/>
      <c r="L70" s="26"/>
      <c r="M70" s="29"/>
      <c r="N70" s="26"/>
      <c r="O70" s="26"/>
      <c r="P70" s="26"/>
    </row>
  </sheetData>
  <mergeCells count="1">
    <mergeCell ref="H9:L9"/>
  </mergeCells>
  <phoneticPr fontId="5" type="noConversion"/>
  <pageMargins left="0.7" right="0.7" top="0.75" bottom="0.75" header="0.3" footer="0.3"/>
  <pageSetup paperSize="9"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 Calculo</vt:lpstr>
      <vt:lpstr>FWCI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Rigoni</cp:lastModifiedBy>
  <cp:revision>2</cp:revision>
  <dcterms:created xsi:type="dcterms:W3CDTF">2023-09-13T00:48:40Z</dcterms:created>
  <dcterms:modified xsi:type="dcterms:W3CDTF">2024-11-25T13:12:12Z</dcterms:modified>
</cp:coreProperties>
</file>